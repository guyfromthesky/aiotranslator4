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kvnlee\Downloads\Document Translator v3.0.0d\"/>
    </mc:Choice>
  </mc:AlternateContent>
  <bookViews>
    <workbookView xWindow="0" yWindow="0" windowWidth="18015" windowHeight="10560"/>
  </bookViews>
  <sheets>
    <sheet name="Summary" sheetId="40" r:id="rId1"/>
    <sheet name="어쌔신" sheetId="181" r:id="rId2"/>
  </sheets>
  <functionGroups builtInGroupCount="18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</externalReferences>
  <definedNames>
    <definedName name="_1._조건제_보상_추가_패키지">#REF!</definedName>
    <definedName name="_2._조건제_구매_가능_패키지">#REF!</definedName>
    <definedName name="_3._컴플리트_패키지">#REF!</definedName>
    <definedName name="A_공격력">#REF!</definedName>
    <definedName name="A_방어력">#REF!</definedName>
    <definedName name="A_체력">#REF!</definedName>
    <definedName name="AAA">#REF!</definedName>
    <definedName name="adf">[2]요약!#REF!</definedName>
    <definedName name="Adventure_battle">#REF!</definedName>
    <definedName name="Adventure_Rewards">#REF!</definedName>
    <definedName name="Alchemy_Group">[21]!표3_5[Alchemy]</definedName>
    <definedName name="Anemone">"図 10"</definedName>
    <definedName name="B_공격력">#REF!</definedName>
    <definedName name="B_방어력">#REF!</definedName>
    <definedName name="B_체력">#REF!</definedName>
    <definedName name="Battle_result">#REF!</definedName>
    <definedName name="Before_you_go">#REF!</definedName>
    <definedName name="Blacksmith_Group">[21]!표3_5[Blacksmith]</definedName>
    <definedName name="Bonus_Talent">[3]Spec_Summary!$C$1</definedName>
    <definedName name="Box_gacha_main_screen">#REF!</definedName>
    <definedName name="Box_gacha_progress">#REF!</definedName>
    <definedName name="ColumnTitle1">#REF!</definedName>
    <definedName name="Concept_Description">#REF!</definedName>
    <definedName name="Continuous_battle">#REF!</definedName>
    <definedName name="CraftType">[19]CraftRecipe!#REF!</definedName>
    <definedName name="da">#REF!</definedName>
    <definedName name="dd">#REF!</definedName>
    <definedName name="dddddd">#REF!</definedName>
    <definedName name="ddddddddd">#REF!</definedName>
    <definedName name="ddddddddddddd">#REF!</definedName>
    <definedName name="Design_FinalPath">#REF!</definedName>
    <definedName name="DesignSheet_CurrentPath">#REF!</definedName>
    <definedName name="DesignSheet_CurrentPath_2">#REF!</definedName>
    <definedName name="DesignSheet_CurrentPath_Npc">#REF!</definedName>
    <definedName name="DesignSheet_FinalPath">#REF!</definedName>
    <definedName name="DesignSheet_FindPath">#REF!</definedName>
    <definedName name="DesignSheet_FindPath_2">#REF!</definedName>
    <definedName name="DesignSheet_FindPath_Npc">#REF!</definedName>
    <definedName name="DesignSheet_ReplacePath">#REF!</definedName>
    <definedName name="DesignSheet_ReplacePath_2">#REF!</definedName>
    <definedName name="DesignSheet_ReplacePath_Npc">#REF!</definedName>
    <definedName name="dfd">#REF!</definedName>
    <definedName name="dfdf">#REF!</definedName>
    <definedName name="dfdfd">#REF!</definedName>
    <definedName name="dfdfdfd">#REF!</definedName>
    <definedName name="dfsg">[2]요약!#REF!</definedName>
    <definedName name="enter">#REF!</definedName>
    <definedName name="Entrance">#REF!</definedName>
    <definedName name="HitNotifyExport.jsonPath">#REF!</definedName>
    <definedName name="How_to_check_the_server_time">#REF!</definedName>
    <definedName name="icon">"図 1"</definedName>
    <definedName name="ID대역">#REF!</definedName>
    <definedName name="initialization">#REF!</definedName>
    <definedName name="ItemType">[4]!표3[RewardItemType]</definedName>
    <definedName name="ItemUsable" comment="사용 가능 아이템 목록">#REF!</definedName>
    <definedName name="Jewelry_Group">[21]!표3_5[Jewelry]</definedName>
    <definedName name="kl">#REF!</definedName>
    <definedName name="Level_Type">[5]지형리스트!$B$1:$B$38</definedName>
    <definedName name="lobby">#REF!</definedName>
    <definedName name="Open_period">#REF!</definedName>
    <definedName name="Production_directing">#REF!</definedName>
    <definedName name="Production_Failed">#REF!</definedName>
    <definedName name="Production_lobby">#REF!</definedName>
    <definedName name="Production_Popup">#REF!</definedName>
    <definedName name="Production_screen">#REF!</definedName>
    <definedName name="Quest_Reward_CurrentPath">#REF!</definedName>
    <definedName name="Quest_Reward_FindPath">#REF!</definedName>
    <definedName name="Quest_Reward_ReplacePath">#REF!</definedName>
    <definedName name="Raid_Battle">#REF!</definedName>
    <definedName name="Raid_Equipment">#REF!</definedName>
    <definedName name="Raid_Lobby">#REF!</definedName>
    <definedName name="Raid_Mission">#REF!</definedName>
    <definedName name="Raid_Point">#REF!</definedName>
    <definedName name="Raid_Selection_Screen">#REF!</definedName>
    <definedName name="Raid_token_exchange">#REF!</definedName>
    <definedName name="reward_confirmation">#REF!</definedName>
    <definedName name="Select_chapters">#REF!</definedName>
    <definedName name="Select_stage">#REF!</definedName>
    <definedName name="sg">[2]요약!#REF!</definedName>
    <definedName name="skillExport.jsonPath">#REF!</definedName>
    <definedName name="Stage_Details">#REF!</definedName>
    <definedName name="StatDef_ClassCnt">'[6]#Stat'!#REF!</definedName>
    <definedName name="StatDef_MaxLv">'[6]#Stat'!#REF!</definedName>
    <definedName name="String.jsonPath">#REF!</definedName>
    <definedName name="StringTablePath">#REF!</definedName>
    <definedName name="term">#REF!</definedName>
    <definedName name="Ticket_acquisition">#REF!</definedName>
    <definedName name="TimedEvent.jsonPath">#REF!</definedName>
    <definedName name="TimedObject.jsonPath">#REF!</definedName>
    <definedName name="TimedObjectNotifyExport.jsonPath">#REF!</definedName>
    <definedName name="zz">#REF!</definedName>
    <definedName name="zzzzzzz">#REF!</definedName>
    <definedName name="가중치">[7]시뮬레이션!$B$3</definedName>
    <definedName name="가챠_구매">#REF!</definedName>
    <definedName name="강림던전_상세">#REF!</definedName>
    <definedName name="개념_설명">#REF!</definedName>
    <definedName name="경험치">#REF!</definedName>
    <definedName name="경험치_">#REF!</definedName>
    <definedName name="경험치_기본">'[8]#MasteryDesign'!$I$5</definedName>
    <definedName name="고정피해">#REF!</definedName>
    <definedName name="골드">#REF!</definedName>
    <definedName name="골드_기본">'[8]#MasteryDesign'!$I$6</definedName>
    <definedName name="구매">#REF!</definedName>
    <definedName name="기절">#REF!</definedName>
    <definedName name="ㄴ옿렇러">[2]요약!#REF!</definedName>
    <definedName name="난이도">#REF!</definedName>
    <definedName name="당겨짐">#REF!</definedName>
    <definedName name="대분류">OFFSET([9]!상품[[#Headers],[상품]],0,0,1,COUNTA([9]분류DB!$1:$1)-1)</definedName>
    <definedName name="등급">#REF!</definedName>
    <definedName name="등장_확률표">#REF!</definedName>
    <definedName name="레벨">#REF!</definedName>
    <definedName name="ㅀㄴ">[2]요약!#REF!</definedName>
    <definedName name="마공">#REF!</definedName>
    <definedName name="마공증">#REF!</definedName>
    <definedName name="마방">#REF!</definedName>
    <definedName name="마법형">#REF!</definedName>
    <definedName name="마일리지">#REF!</definedName>
    <definedName name="매출">[10]요약!#REF!</definedName>
    <definedName name="명중">#REF!</definedName>
    <definedName name="모험_1일_n_판플레이">'[11]0_Info'!$D$5</definedName>
    <definedName name="무게">#REF!</definedName>
    <definedName name="무막">#REF!</definedName>
    <definedName name="물공">#REF!</definedName>
    <definedName name="물공증">#REF!</definedName>
    <definedName name="물방">#REF!</definedName>
    <definedName name="미션_내용">'[12]Fool''s Day_Dungeon#6'!#REF!</definedName>
    <definedName name="미션_데이터">[13]참조_achieveCondition!$A$3:$C$51</definedName>
    <definedName name="미션_명칭">[13]참조_achieveCondition!$D$3:$D$51</definedName>
    <definedName name="미션_진행">#REF!</definedName>
    <definedName name="미션보상_diff">'[14]빛의신룡_보상#2'!#REF!</definedName>
    <definedName name="밀쳐짐">#REF!</definedName>
    <definedName name="방막">#REF!</definedName>
    <definedName name="보상">#REF!</definedName>
    <definedName name="보스">#REF!</definedName>
    <definedName name="비공정_보상데이터">#REF!</definedName>
    <definedName name="상성">[7]시뮬레이션!$B$4</definedName>
    <definedName name="생">#REF!</definedName>
    <definedName name="생명력">#REF!</definedName>
    <definedName name="속성_ID">[13]참조!$F$3:$F$7</definedName>
    <definedName name="속성_Name">[13]참조!$G$3:$G$7</definedName>
    <definedName name="시나리오_미션_기본_화면">#REF!</definedName>
    <definedName name="쓰러짐">#REF!</definedName>
    <definedName name="ㅇ">[2]요약!#REF!</definedName>
    <definedName name="ㅇㄴㅇ">[2]요약!#REF!</definedName>
    <definedName name="ㅇㅀㅎ">[2]요약!#REF!</definedName>
    <definedName name="ㅇㅇ">[2]요약!#REF!</definedName>
    <definedName name="아인형">#REF!</definedName>
    <definedName name="악마형">#REF!</definedName>
    <definedName name="야수형">#REF!</definedName>
    <definedName name="약점">[7]시뮬레이션!$B$2</definedName>
    <definedName name="영웅_리스트">#REF!</definedName>
    <definedName name="영웅_티어">[15]참고!$E$16:$F$20</definedName>
    <definedName name="영웅그레이드_Name">[13]참조!$L$3:$L$6</definedName>
    <definedName name="영웅성장">[16]참조!$H$7:$H$10</definedName>
    <definedName name="옵션">#REF!</definedName>
    <definedName name="요일">[17]참조!$Z$2:$Z$8</definedName>
    <definedName name="인간형">#REF!</definedName>
    <definedName name="장비성장">[16]참조!$C$7:$C$11</definedName>
    <definedName name="장비유형_ID">[13]참조!$D$3:$D$5</definedName>
    <definedName name="장비유형_Name">[13]참조!$E$3:$E$5</definedName>
    <definedName name="장비카테고리_ID">[13]참조!$B$3:$B$6</definedName>
    <definedName name="장비카테고리_Name">[13]참조!$C$3:$C$6</definedName>
    <definedName name="정">#REF!</definedName>
    <definedName name="정신력">#REF!</definedName>
    <definedName name="진입">#REF!</definedName>
    <definedName name="치">#REF!</definedName>
    <definedName name="치저">#REF!</definedName>
    <definedName name="치피증">#REF!</definedName>
    <definedName name="컷신">#REF!</definedName>
    <definedName name="클리어보상_diff">'[14]빛의신룡_보상#2'!#REF!</definedName>
    <definedName name="테스트ID대역">#REF!</definedName>
    <definedName name="팀편성">#REF!</definedName>
    <definedName name="판매">#REF!</definedName>
    <definedName name="판매_기간">#REF!</definedName>
    <definedName name="표준">#REF!</definedName>
    <definedName name="표준ID대역">[18]STRINGNPC!$A$3</definedName>
    <definedName name="피해량증감">[7]시뮬레이션!$B$1</definedName>
    <definedName name="픽업_가챠_배너">#REF!</definedName>
    <definedName name="현재_상품_이름">[9]TC은행DB!$B$3</definedName>
    <definedName name="회피">#REF!</definedName>
    <definedName name="휘청거림">#REF!</definedName>
  </definedName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0" i="40" l="1"/>
  <c r="J100" i="40"/>
  <c r="I100" i="40"/>
  <c r="H100" i="40"/>
  <c r="G100" i="40" s="1"/>
  <c r="F100" i="40"/>
  <c r="K99" i="40"/>
  <c r="J99" i="40"/>
  <c r="I99" i="40"/>
  <c r="H99" i="40"/>
  <c r="G99" i="40" s="1"/>
  <c r="F99" i="40"/>
  <c r="K98" i="40"/>
  <c r="J98" i="40"/>
  <c r="I98" i="40"/>
  <c r="H98" i="40"/>
  <c r="G98" i="40" s="1"/>
  <c r="F98" i="40"/>
  <c r="K97" i="40"/>
  <c r="J97" i="40"/>
  <c r="I97" i="40"/>
  <c r="H97" i="40"/>
  <c r="G97" i="40" s="1"/>
  <c r="F97" i="40"/>
  <c r="K96" i="40"/>
  <c r="J96" i="40"/>
  <c r="I96" i="40"/>
  <c r="H96" i="40"/>
  <c r="G96" i="40" s="1"/>
  <c r="F96" i="40"/>
  <c r="K92" i="40"/>
  <c r="J92" i="40"/>
  <c r="I92" i="40"/>
  <c r="H92" i="40"/>
  <c r="G92" i="40" s="1"/>
  <c r="F92" i="40"/>
  <c r="K91" i="40"/>
  <c r="J91" i="40"/>
  <c r="I91" i="40"/>
  <c r="H91" i="40"/>
  <c r="G91" i="40" s="1"/>
  <c r="F91" i="40"/>
  <c r="K88" i="40"/>
  <c r="J88" i="40"/>
  <c r="I88" i="40"/>
  <c r="H88" i="40"/>
  <c r="G88" i="40" s="1"/>
  <c r="F88" i="40"/>
  <c r="K87" i="40"/>
  <c r="J87" i="40"/>
  <c r="I87" i="40"/>
  <c r="H87" i="40"/>
  <c r="G87" i="40" s="1"/>
  <c r="F87" i="40"/>
  <c r="K86" i="40"/>
  <c r="J86" i="40"/>
  <c r="I86" i="40"/>
  <c r="H86" i="40"/>
  <c r="G86" i="40" s="1"/>
  <c r="F86" i="40"/>
  <c r="K85" i="40"/>
  <c r="J85" i="40"/>
  <c r="I85" i="40"/>
  <c r="H85" i="40"/>
  <c r="G85" i="40" s="1"/>
  <c r="F85" i="40"/>
  <c r="K78" i="40"/>
  <c r="J78" i="40"/>
  <c r="I78" i="40"/>
  <c r="H78" i="40"/>
  <c r="G78" i="40" s="1"/>
  <c r="F78" i="40"/>
  <c r="K77" i="40"/>
  <c r="J77" i="40"/>
  <c r="I77" i="40"/>
  <c r="H77" i="40"/>
  <c r="G77" i="40" s="1"/>
  <c r="F77" i="40"/>
  <c r="K73" i="40"/>
  <c r="J73" i="40"/>
  <c r="I73" i="40"/>
  <c r="H73" i="40"/>
  <c r="G73" i="40" s="1"/>
  <c r="F73" i="40"/>
  <c r="K70" i="40"/>
  <c r="J70" i="40"/>
  <c r="I70" i="40"/>
  <c r="H70" i="40"/>
  <c r="G70" i="40" s="1"/>
  <c r="F70" i="40"/>
  <c r="K69" i="40"/>
  <c r="J69" i="40"/>
  <c r="I69" i="40"/>
  <c r="H69" i="40"/>
  <c r="G69" i="40" s="1"/>
  <c r="F69" i="40"/>
  <c r="K68" i="40"/>
  <c r="J68" i="40"/>
  <c r="I68" i="40"/>
  <c r="H68" i="40"/>
  <c r="G68" i="40" s="1"/>
  <c r="F68" i="40"/>
  <c r="K67" i="40"/>
  <c r="J67" i="40"/>
  <c r="I67" i="40"/>
  <c r="H67" i="40"/>
  <c r="F67" i="40"/>
  <c r="K66" i="40"/>
  <c r="J66" i="40"/>
  <c r="I66" i="40"/>
  <c r="G66" i="40" s="1"/>
  <c r="H66" i="40"/>
  <c r="F66" i="40"/>
  <c r="K65" i="40"/>
  <c r="J65" i="40"/>
  <c r="I65" i="40"/>
  <c r="G65" i="40" s="1"/>
  <c r="H65" i="40"/>
  <c r="F65" i="40"/>
  <c r="K64" i="40"/>
  <c r="J64" i="40"/>
  <c r="I64" i="40"/>
  <c r="G64" i="40" s="1"/>
  <c r="H64" i="40"/>
  <c r="F64" i="40"/>
  <c r="K63" i="40"/>
  <c r="J63" i="40"/>
  <c r="I63" i="40"/>
  <c r="H63" i="40"/>
  <c r="F63" i="40"/>
  <c r="K62" i="40"/>
  <c r="J62" i="40"/>
  <c r="I62" i="40"/>
  <c r="H62" i="40"/>
  <c r="F62" i="40"/>
  <c r="K61" i="40"/>
  <c r="J61" i="40"/>
  <c r="I61" i="40"/>
  <c r="H61" i="40"/>
  <c r="G61" i="40"/>
  <c r="F61" i="40"/>
  <c r="K60" i="40"/>
  <c r="J60" i="40"/>
  <c r="I60" i="40"/>
  <c r="H60" i="40"/>
  <c r="G60" i="40"/>
  <c r="F60" i="40"/>
  <c r="K58" i="40"/>
  <c r="J58" i="40"/>
  <c r="I58" i="40"/>
  <c r="H58" i="40"/>
  <c r="G58" i="40"/>
  <c r="F58" i="40"/>
  <c r="K57" i="40"/>
  <c r="J57" i="40"/>
  <c r="I57" i="40"/>
  <c r="H57" i="40"/>
  <c r="G57" i="40"/>
  <c r="F57" i="40"/>
  <c r="K56" i="40"/>
  <c r="J56" i="40"/>
  <c r="I56" i="40"/>
  <c r="H56" i="40"/>
  <c r="G56" i="40"/>
  <c r="F56" i="40"/>
  <c r="K55" i="40"/>
  <c r="J55" i="40"/>
  <c r="I55" i="40"/>
  <c r="H55" i="40"/>
  <c r="G55" i="40"/>
  <c r="F55" i="40"/>
  <c r="K54" i="40"/>
  <c r="J54" i="40"/>
  <c r="I54" i="40"/>
  <c r="H54" i="40"/>
  <c r="G54" i="40"/>
  <c r="F54" i="40"/>
  <c r="K53" i="40"/>
  <c r="J53" i="40"/>
  <c r="I53" i="40"/>
  <c r="H53" i="40"/>
  <c r="G53" i="40"/>
  <c r="F53" i="40"/>
  <c r="K52" i="40"/>
  <c r="J52" i="40"/>
  <c r="I52" i="40"/>
  <c r="H52" i="40"/>
  <c r="G52" i="40"/>
  <c r="F52" i="40"/>
  <c r="K51" i="40"/>
  <c r="J51" i="40"/>
  <c r="I51" i="40"/>
  <c r="H51" i="40"/>
  <c r="G51" i="40"/>
  <c r="F51" i="40"/>
  <c r="K50" i="40"/>
  <c r="J50" i="40"/>
  <c r="I50" i="40"/>
  <c r="H50" i="40"/>
  <c r="G50" i="40"/>
  <c r="F50" i="40"/>
  <c r="K49" i="40"/>
  <c r="J49" i="40"/>
  <c r="I49" i="40"/>
  <c r="H49" i="40"/>
  <c r="G49" i="40"/>
  <c r="F49" i="40"/>
  <c r="K48" i="40"/>
  <c r="J48" i="40"/>
  <c r="I48" i="40"/>
  <c r="H48" i="40"/>
  <c r="G48" i="40"/>
  <c r="F48" i="40"/>
  <c r="K47" i="40"/>
  <c r="J47" i="40"/>
  <c r="I47" i="40"/>
  <c r="H47" i="40"/>
  <c r="G47" i="40"/>
  <c r="F47" i="40"/>
  <c r="K46" i="40"/>
  <c r="J46" i="40"/>
  <c r="I46" i="40"/>
  <c r="H46" i="40"/>
  <c r="G46" i="40"/>
  <c r="F46" i="40"/>
  <c r="K45" i="40"/>
  <c r="J45" i="40"/>
  <c r="I45" i="40"/>
  <c r="H45" i="40"/>
  <c r="G45" i="40"/>
  <c r="F45" i="40"/>
  <c r="K44" i="40"/>
  <c r="J44" i="40"/>
  <c r="I44" i="40"/>
  <c r="H44" i="40"/>
  <c r="G44" i="40"/>
  <c r="F44" i="40"/>
  <c r="K43" i="40"/>
  <c r="J43" i="40"/>
  <c r="I43" i="40"/>
  <c r="H43" i="40"/>
  <c r="G43" i="40"/>
  <c r="F43" i="40"/>
  <c r="K42" i="40"/>
  <c r="J42" i="40"/>
  <c r="I42" i="40"/>
  <c r="H42" i="40"/>
  <c r="G42" i="40"/>
  <c r="F42" i="40"/>
  <c r="K41" i="40"/>
  <c r="J41" i="40"/>
  <c r="I41" i="40"/>
  <c r="H41" i="40"/>
  <c r="G41" i="40"/>
  <c r="F41" i="40"/>
  <c r="K40" i="40"/>
  <c r="J40" i="40"/>
  <c r="I40" i="40"/>
  <c r="H40" i="40"/>
  <c r="G40" i="40"/>
  <c r="F40" i="40"/>
  <c r="K39" i="40"/>
  <c r="J39" i="40"/>
  <c r="I39" i="40"/>
  <c r="H39" i="40"/>
  <c r="G39" i="40"/>
  <c r="F39" i="40"/>
  <c r="K38" i="40"/>
  <c r="J38" i="40"/>
  <c r="I38" i="40"/>
  <c r="H38" i="40"/>
  <c r="G38" i="40"/>
  <c r="F38" i="40"/>
  <c r="K37" i="40"/>
  <c r="J37" i="40"/>
  <c r="I37" i="40"/>
  <c r="H37" i="40"/>
  <c r="G37" i="40"/>
  <c r="F37" i="40"/>
  <c r="K36" i="40"/>
  <c r="J36" i="40"/>
  <c r="I36" i="40"/>
  <c r="H36" i="40"/>
  <c r="G36" i="40"/>
  <c r="F36" i="40"/>
  <c r="K35" i="40"/>
  <c r="J35" i="40"/>
  <c r="I35" i="40"/>
  <c r="H35" i="40"/>
  <c r="G35" i="40"/>
  <c r="F35" i="40"/>
  <c r="K34" i="40"/>
  <c r="J34" i="40"/>
  <c r="I34" i="40"/>
  <c r="H34" i="40"/>
  <c r="F34" i="40"/>
  <c r="K33" i="40"/>
  <c r="J33" i="40"/>
  <c r="I33" i="40"/>
  <c r="H33" i="40"/>
  <c r="F33" i="40"/>
  <c r="G33" i="40" s="1"/>
  <c r="K32" i="40"/>
  <c r="J32" i="40"/>
  <c r="I32" i="40"/>
  <c r="H32" i="40"/>
  <c r="F32" i="40"/>
  <c r="G32" i="40" s="1"/>
  <c r="K31" i="40"/>
  <c r="J31" i="40"/>
  <c r="I31" i="40"/>
  <c r="H31" i="40"/>
  <c r="F31" i="40"/>
  <c r="K30" i="40"/>
  <c r="J30" i="40"/>
  <c r="I30" i="40"/>
  <c r="H30" i="40"/>
  <c r="F30" i="40"/>
  <c r="K29" i="40"/>
  <c r="J29" i="40"/>
  <c r="I29" i="40"/>
  <c r="H29" i="40"/>
  <c r="F29" i="40"/>
  <c r="K28" i="40"/>
  <c r="J28" i="40"/>
  <c r="I28" i="40"/>
  <c r="H28" i="40"/>
  <c r="F28" i="40"/>
  <c r="K27" i="40"/>
  <c r="J27" i="40"/>
  <c r="I27" i="40"/>
  <c r="H27" i="40"/>
  <c r="F27" i="40"/>
  <c r="K95" i="40"/>
  <c r="J95" i="40"/>
  <c r="I95" i="40"/>
  <c r="K94" i="40"/>
  <c r="J94" i="40"/>
  <c r="K93" i="40"/>
  <c r="J93" i="40"/>
  <c r="I93" i="40"/>
  <c r="K90" i="40"/>
  <c r="I90" i="40"/>
  <c r="K89" i="40"/>
  <c r="J89" i="40"/>
  <c r="I89" i="40"/>
  <c r="K84" i="40"/>
  <c r="J84" i="40"/>
  <c r="I84" i="40"/>
  <c r="K83" i="40"/>
  <c r="J83" i="40"/>
  <c r="I83" i="40"/>
  <c r="K82" i="40"/>
  <c r="J82" i="40"/>
  <c r="I82" i="40"/>
  <c r="K81" i="40"/>
  <c r="J81" i="40"/>
  <c r="I81" i="40"/>
  <c r="K80" i="40"/>
  <c r="J80" i="40"/>
  <c r="I80" i="40"/>
  <c r="J79" i="40"/>
  <c r="K79" i="40"/>
  <c r="I79" i="40"/>
  <c r="K76" i="40"/>
  <c r="J76" i="40"/>
  <c r="I76" i="40"/>
  <c r="K75" i="40"/>
  <c r="J75" i="40"/>
  <c r="I75" i="40"/>
  <c r="K74" i="40"/>
  <c r="J74" i="40"/>
  <c r="I74" i="40"/>
  <c r="K72" i="40"/>
  <c r="J72" i="40"/>
  <c r="I72" i="40"/>
  <c r="I71" i="40"/>
  <c r="I59" i="40"/>
  <c r="E8" i="181"/>
  <c r="E7" i="181"/>
  <c r="E6" i="181"/>
  <c r="E5" i="181"/>
  <c r="D8" i="181"/>
  <c r="C8" i="181" s="1"/>
  <c r="K26" i="40" s="1"/>
  <c r="D7" i="181"/>
  <c r="C7" i="181" s="1"/>
  <c r="J26" i="40" s="1"/>
  <c r="D6" i="181"/>
  <c r="C6" i="181" s="1"/>
  <c r="D5" i="181"/>
  <c r="C5" i="181" s="1"/>
  <c r="H26" i="40" l="1"/>
  <c r="C9" i="181"/>
  <c r="C4" i="181"/>
  <c r="F26" i="40" s="1"/>
  <c r="I26" i="40"/>
  <c r="E9" i="181"/>
  <c r="D4" i="181"/>
  <c r="E4" i="181"/>
  <c r="D9" i="181"/>
  <c r="G31" i="40"/>
  <c r="G30" i="40"/>
  <c r="G29" i="40"/>
  <c r="J71" i="40"/>
  <c r="K71" i="40"/>
  <c r="H71" i="40"/>
  <c r="G67" i="40"/>
  <c r="G63" i="40"/>
  <c r="K59" i="40"/>
  <c r="J59" i="40"/>
  <c r="H59" i="40"/>
  <c r="G62" i="40"/>
  <c r="H95" i="40"/>
  <c r="F95" i="40"/>
  <c r="H94" i="40"/>
  <c r="F94" i="40"/>
  <c r="I94" i="40"/>
  <c r="H93" i="40"/>
  <c r="F93" i="40"/>
  <c r="J90" i="40"/>
  <c r="H90" i="40"/>
  <c r="H89" i="40"/>
  <c r="F89" i="40"/>
  <c r="H84" i="40"/>
  <c r="F84" i="40"/>
  <c r="H83" i="40"/>
  <c r="F83" i="40"/>
  <c r="H82" i="40"/>
  <c r="F82" i="40"/>
  <c r="H81" i="40"/>
  <c r="G81" i="40" s="1"/>
  <c r="F81" i="40"/>
  <c r="H80" i="40"/>
  <c r="F80" i="40"/>
  <c r="K17" i="40"/>
  <c r="H79" i="40"/>
  <c r="F79" i="40"/>
  <c r="H76" i="40"/>
  <c r="F76" i="40"/>
  <c r="H75" i="40"/>
  <c r="F75" i="40"/>
  <c r="H74" i="40"/>
  <c r="G74" i="40" s="1"/>
  <c r="F74" i="40"/>
  <c r="K18" i="40"/>
  <c r="K20" i="40"/>
  <c r="H17" i="40"/>
  <c r="K19" i="40"/>
  <c r="H18" i="40"/>
  <c r="H19" i="40"/>
  <c r="H20" i="40"/>
  <c r="G34" i="40"/>
  <c r="G27" i="40"/>
  <c r="G28" i="40"/>
  <c r="G26" i="40" l="1"/>
  <c r="G80" i="40"/>
  <c r="G83" i="40"/>
  <c r="G76" i="40"/>
  <c r="G95" i="40"/>
  <c r="E17" i="40"/>
  <c r="K16" i="40"/>
  <c r="K21" i="40" s="1"/>
  <c r="F59" i="40"/>
  <c r="G59" i="40" s="1"/>
  <c r="G94" i="40"/>
  <c r="G93" i="40"/>
  <c r="F90" i="40"/>
  <c r="G90" i="40" s="1"/>
  <c r="G89" i="40"/>
  <c r="G84" i="40"/>
  <c r="G82" i="40"/>
  <c r="E18" i="40"/>
  <c r="E20" i="40"/>
  <c r="G79" i="40"/>
  <c r="G75" i="40"/>
  <c r="H16" i="40"/>
  <c r="E16" i="40" s="1"/>
  <c r="E19" i="40"/>
  <c r="F72" i="40"/>
  <c r="H72" i="40"/>
  <c r="G72" i="40" s="1"/>
  <c r="F71" i="40" l="1"/>
  <c r="G71" i="40" s="1"/>
  <c r="E21" i="40"/>
  <c r="H21" i="40"/>
</calcChain>
</file>

<file path=xl/comments1.xml><?xml version="1.0" encoding="utf-8"?>
<comments xmlns="http://schemas.openxmlformats.org/spreadsheetml/2006/main">
  <authors>
    <author>오혜진 [enoughoh]</author>
  </authors>
  <commentList>
    <comment ref="I13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 xml:space="preserve">오혜진 [enoughoh]:
Result 텍스트가 맨 앞에 놓여야, 매크로가 인식할 수 있습니다. 
올바른 예
ex. Result_UI, Result(UI), ResultUI, Result[UI]
나쁜 예
: Result가 포함되어 있지 않거나, Result 앞에 다른 단어가 놓이는 경우 
ex. UI_Result, 결과, iOS, (UI)Result, 확인 결과 </t>
        </r>
      </text>
    </comment>
  </commentList>
</comments>
</file>

<file path=xl/sharedStrings.xml><?xml version="1.0" encoding="utf-8"?>
<sst xmlns="http://schemas.openxmlformats.org/spreadsheetml/2006/main" count="251" uniqueCount="184">
  <si>
    <t>Pass</t>
    <phoneticPr fontId="11" type="noConversion"/>
  </si>
  <si>
    <t>Function</t>
  </si>
  <si>
    <t>Pass</t>
  </si>
  <si>
    <t>N/A</t>
  </si>
  <si>
    <t>Fail</t>
    <phoneticPr fontId="11" type="noConversion"/>
  </si>
  <si>
    <t>Total</t>
    <phoneticPr fontId="11" type="noConversion"/>
  </si>
  <si>
    <t>Fail</t>
  </si>
  <si>
    <t>N/A</t>
    <phoneticPr fontId="11" type="noConversion"/>
  </si>
  <si>
    <t>B</t>
    <phoneticPr fontId="11" type="noConversion"/>
  </si>
  <si>
    <t>A</t>
    <phoneticPr fontId="11" type="noConversion"/>
  </si>
  <si>
    <t>S</t>
    <phoneticPr fontId="11" type="noConversion"/>
  </si>
  <si>
    <t>Note</t>
    <phoneticPr fontId="11" type="noConversion"/>
  </si>
  <si>
    <t>Total</t>
    <phoneticPr fontId="11" type="noConversion"/>
  </si>
  <si>
    <t>Closed</t>
    <phoneticPr fontId="11" type="noConversion"/>
  </si>
  <si>
    <t>Resolved</t>
    <phoneticPr fontId="11" type="noConversion"/>
  </si>
  <si>
    <t>New+Doing</t>
    <phoneticPr fontId="11" type="noConversion"/>
  </si>
  <si>
    <t>▶ Bug Status</t>
    <phoneticPr fontId="11" type="noConversion"/>
  </si>
  <si>
    <t>N/T</t>
    <phoneticPr fontId="11" type="noConversion"/>
  </si>
  <si>
    <t>N/A</t>
    <phoneticPr fontId="11" type="noConversion"/>
  </si>
  <si>
    <t>Fail</t>
    <phoneticPr fontId="11" type="noConversion"/>
  </si>
  <si>
    <t>Pass</t>
    <phoneticPr fontId="11" type="noConversion"/>
  </si>
  <si>
    <t>Coverage</t>
    <phoneticPr fontId="11" type="noConversion"/>
  </si>
  <si>
    <t>Total</t>
    <phoneticPr fontId="11" type="noConversion"/>
  </si>
  <si>
    <t>Contents</t>
    <phoneticPr fontId="11" type="noConversion"/>
  </si>
  <si>
    <t>▶ Contents Coverage</t>
    <phoneticPr fontId="11" type="noConversion"/>
  </si>
  <si>
    <t>Coverage</t>
    <phoneticPr fontId="11" type="noConversion"/>
  </si>
  <si>
    <t>N/T</t>
    <phoneticPr fontId="11" type="noConversion"/>
  </si>
  <si>
    <t>N/A</t>
    <phoneticPr fontId="11" type="noConversion"/>
  </si>
  <si>
    <t>Fail</t>
    <phoneticPr fontId="11" type="noConversion"/>
  </si>
  <si>
    <t>Pass</t>
    <phoneticPr fontId="11" type="noConversion"/>
  </si>
  <si>
    <t>▶ Data Coverage</t>
    <phoneticPr fontId="11" type="noConversion"/>
  </si>
  <si>
    <t>▶ Function Coverage</t>
    <phoneticPr fontId="11" type="noConversion"/>
  </si>
  <si>
    <t>▶ Total Test Coverage</t>
    <phoneticPr fontId="11" type="noConversion"/>
  </si>
  <si>
    <t>▶ QA Comment</t>
    <phoneticPr fontId="11" type="noConversion"/>
  </si>
  <si>
    <t>Test Term</t>
    <phoneticPr fontId="11" type="noConversion"/>
  </si>
  <si>
    <t>담당자</t>
    <phoneticPr fontId="11" type="noConversion"/>
  </si>
  <si>
    <t>김재운</t>
    <phoneticPr fontId="11" type="noConversion"/>
  </si>
  <si>
    <t>Build Version/s</t>
    <phoneticPr fontId="11" type="noConversion"/>
  </si>
  <si>
    <t>Report Date</t>
    <phoneticPr fontId="11" type="noConversion"/>
  </si>
  <si>
    <t>1. 확률 관련 테스트는 상세 확인이 어려우므로, 데이터 문서 검토를 중심으로 진행</t>
    <phoneticPr fontId="11" type="noConversion"/>
  </si>
  <si>
    <t xml:space="preserve">2. 결제 테스트는 '홍콩' 기준 테스트 결제로 진행, 그 외 국가는 인게임 내 가격 표기까지 확인 </t>
    <phoneticPr fontId="11" type="noConversion"/>
  </si>
  <si>
    <t xml:space="preserve">4. 그 외 잔여 영역 및 이슈에 대한 상세 내용은 메일 참고 </t>
    <phoneticPr fontId="11" type="noConversion"/>
  </si>
  <si>
    <t>Data</t>
  </si>
  <si>
    <t>Expected Result</t>
  </si>
  <si>
    <t>Test Case</t>
  </si>
  <si>
    <t>1-1.</t>
  </si>
  <si>
    <t>1.</t>
  </si>
  <si>
    <t>Coverage</t>
  </si>
  <si>
    <t>N/T</t>
  </si>
  <si>
    <t>Total</t>
  </si>
  <si>
    <t>Summary</t>
  </si>
  <si>
    <t>0.</t>
  </si>
  <si>
    <t>Result</t>
  </si>
  <si>
    <t>sort</t>
  </si>
  <si>
    <t>reference</t>
  </si>
  <si>
    <t>note</t>
  </si>
  <si>
    <t>3. 테스트 환경 상, 기간 관련 테스트 불가하여 Live 데이터 적용 시 데이터 시트 기준으로 확인</t>
    <phoneticPr fontId="11" type="noConversion"/>
  </si>
  <si>
    <t>AOS v.204805 iOS v.204805 
PC v.239718</t>
    <phoneticPr fontId="11" type="noConversion"/>
  </si>
  <si>
    <t>2020-09-11 ~ 2020-09-16</t>
    <phoneticPr fontId="11" type="noConversion"/>
  </si>
  <si>
    <t>Test date</t>
  </si>
  <si>
    <t>Build Version/s</t>
  </si>
  <si>
    <t>Tester</t>
  </si>
  <si>
    <t>어쌔신</t>
    <phoneticPr fontId="11" type="noConversion"/>
  </si>
  <si>
    <t>어쌔신</t>
  </si>
  <si>
    <t>평행필드8</t>
  </si>
  <si>
    <t>악마토벌8</t>
  </si>
  <si>
    <t>길드</t>
  </si>
  <si>
    <t>개선사항</t>
  </si>
  <si>
    <t>합성실패캐어</t>
  </si>
  <si>
    <t>D_마석관련</t>
  </si>
  <si>
    <t>D_길드</t>
  </si>
  <si>
    <t>D_스킬</t>
  </si>
  <si>
    <t>D_특화</t>
  </si>
  <si>
    <t>D_장비</t>
  </si>
  <si>
    <t>D_아이템수집</t>
  </si>
  <si>
    <t>D_필드8</t>
  </si>
  <si>
    <t>D_평행필드8</t>
  </si>
  <si>
    <t>D_악마토벌8</t>
  </si>
  <si>
    <t>D_메인퀘스트</t>
  </si>
  <si>
    <t>D_서브퀘스트</t>
  </si>
  <si>
    <t>D_필드보스</t>
  </si>
  <si>
    <t>D_신규동료</t>
  </si>
  <si>
    <t>M17 D_변경사항</t>
  </si>
  <si>
    <t>PVP 옵션 정리</t>
  </si>
  <si>
    <t>M18변경점</t>
  </si>
  <si>
    <t>코스튬</t>
  </si>
  <si>
    <t>데빌체이서 특화</t>
  </si>
  <si>
    <t>강화 이펙트</t>
  </si>
  <si>
    <t>월드맵개선</t>
  </si>
  <si>
    <t>전투시스템개선</t>
  </si>
  <si>
    <t>D_코스튬</t>
  </si>
  <si>
    <t>D_강화이펙트</t>
  </si>
  <si>
    <t>D_데빌체이서 특화</t>
  </si>
  <si>
    <t>D_1차기타</t>
  </si>
  <si>
    <t>Character creation and deletion</t>
  </si>
  <si>
    <t>category</t>
  </si>
  <si>
    <t>character generation</t>
  </si>
  <si>
    <t>Can I create a character from the character selection screen?</t>
  </si>
  <si>
    <t>If there is no empty slot selection or created character</t>
  </si>
  <si>
    <t>[Select class] Is the character displayed normally in the scene?</t>
  </si>
  <si>
    <t>character appearance</t>
  </si>
  <si>
    <t>Motion output check</t>
  </si>
  <si>
    <t>class icon</t>
  </si>
  <si>
    <t>class name</t>
  </si>
  <si>
    <t>BTSV4TW-1117</t>
  </si>
  <si>
    <t>[Select external preset] Is the ui and function operation in the scene normal?</t>
  </si>
  <si>
    <t>preset selection</t>
  </si>
  <si>
    <t>First preset selected by default</t>
  </si>
  <si>
    <t>Change equipment preview</t>
  </si>
  <si>
    <t>Looking on, off</t>
  </si>
  <si>
    <t>When off, "/" is displayed on the icon</t>
  </si>
  <si>
    <t>[Appearance details setting] Can I customize it in the scene?</t>
  </si>
  <si>
    <t>Each can be selected, the numerical value can be adjusted by moving the slider</t>
  </si>
  <si>
    <t>hair</t>
  </si>
  <si>
    <t>Style, hair</t>
  </si>
  <si>
    <t>Magnifying Glass</t>
  </si>
  <si>
    <t>Skin, eyes, lips</t>
  </si>
  <si>
    <t>Face</t>
  </si>
  <si>
    <t>Clown, chin, eyebrows, eyes, nose and mouth</t>
  </si>
  <si>
    <t>body</t>
  </si>
  <si>
    <t>Whole body</t>
  </si>
  <si>
    <t>Upper body</t>
  </si>
  <si>
    <t>lower body</t>
  </si>
  <si>
    <t>Does the other button in the scene work?</t>
  </si>
  <si>
    <t>If the equipment preview is selected, does the appearance change?</t>
  </si>
  <si>
    <t>Maintain customizing settings, and only the equipment you are wearing should be changed</t>
  </si>
  <si>
    <t>preset</t>
  </si>
  <si>
    <t>Changeable to selected preset</t>
  </si>
  <si>
    <t>reset</t>
  </si>
  <si>
    <t>Reset to the state before customization</t>
  </si>
  <si>
    <t>Revert</t>
  </si>
  <si>
    <t>Go back one level</t>
  </si>
  <si>
    <t>Redo</t>
  </si>
  <si>
    <t>Redo to the previous step</t>
  </si>
  <si>
    <t>Does character name generation rule apply?</t>
  </si>
  <si>
    <t>Character limit</t>
  </si>
  <si>
    <t>2 to 8 characters</t>
  </si>
  <si>
    <t>Prohibition of profanity and prohibition</t>
  </si>
  <si>
    <t>Duplicate name impossible</t>
  </si>
  <si>
    <t>Is it generated by the appearance and name set by the character?</t>
  </si>
  <si>
    <t xml:space="preserve">톨란분지(필드8) </t>
  </si>
  <si>
    <t>퀘스트</t>
  </si>
  <si>
    <t>업적</t>
  </si>
  <si>
    <t>마석</t>
  </si>
  <si>
    <t>황혼의땅</t>
  </si>
  <si>
    <t>스킬 순차발동</t>
  </si>
  <si>
    <t>나이트 스킬 개선</t>
  </si>
  <si>
    <t>D_나이트 스킬 개선</t>
  </si>
  <si>
    <t>영혼석 일괄 승급</t>
  </si>
  <si>
    <t>영혼석 장착 편의성 개선</t>
  </si>
  <si>
    <t>아이템수집</t>
  </si>
  <si>
    <t>신규동료</t>
  </si>
  <si>
    <t>Warehouse</t>
  </si>
  <si>
    <t>GuildQuest</t>
  </si>
  <si>
    <t>SkillSetExpansion</t>
  </si>
  <si>
    <t>FieldDungeonGrouping</t>
  </si>
  <si>
    <t>SettingDisplayFellowDialog</t>
  </si>
  <si>
    <t>DGFRechargeTicketCraft</t>
  </si>
  <si>
    <t>D_DGFRechargeTicketCraft</t>
  </si>
  <si>
    <t>LevelUpRanking</t>
  </si>
  <si>
    <t>ChangeMagicCroreShopPrice</t>
  </si>
  <si>
    <t>MonsterTraceImprovement</t>
  </si>
  <si>
    <t>D_MonsterTraceImprovement</t>
  </si>
  <si>
    <t>Trading ShopImprovement</t>
  </si>
  <si>
    <t xml:space="preserve">FellowStorySort </t>
  </si>
  <si>
    <t>LocationShares</t>
  </si>
  <si>
    <t>MissionRewardChanges</t>
  </si>
  <si>
    <t>D_MissionRewardChanges</t>
  </si>
  <si>
    <t>D_GuildQuest</t>
  </si>
  <si>
    <t>RouletteImprovement</t>
  </si>
  <si>
    <t>FineEquipmentEnhancement</t>
  </si>
  <si>
    <t>LocalQuestTargetCountChanges</t>
  </si>
  <si>
    <t>D_LocalQuestTargetCount</t>
  </si>
  <si>
    <t>ExchangeHouseProduct</t>
  </si>
  <si>
    <t>NewEquipmentCrafting</t>
  </si>
  <si>
    <t>D_NewEquipmentCrafting</t>
  </si>
  <si>
    <t>NewBelt</t>
  </si>
  <si>
    <t>D_NewBelt</t>
  </si>
  <si>
    <t>WorldMapImprovement</t>
  </si>
  <si>
    <t>PVPSettingImprovement</t>
  </si>
  <si>
    <t>Added new craft hero devilstone</t>
  </si>
  <si>
    <t>D_일괄강화</t>
  </si>
  <si>
    <t>신규특화</t>
  </si>
  <si>
    <t>신규 추가내역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</si>
</sst>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176" formatCode="_(* #,##0_);_(* \(#,##0\);_(* &quot;-&quot;_);_(@_)"/>
    <numFmt numFmtId="177" formatCode="mm&quot;월&quot;\ dd&quot;일&quot;"/>
    <numFmt numFmtId="178" formatCode="0_);[Red]\(0\)"/>
    <numFmt numFmtId="179" formatCode="_(* #,##0.00_);_(* \(#,##0.00\);_(* &quot;-&quot;??_);_(@_)"/>
  </numFmts>
  <fonts count="35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ajor"/>
    </font>
    <font>
      <b/>
      <sz val="9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ajor"/>
    </font>
    <font>
      <b/>
      <sz val="9"/>
      <color rgb="FFFF0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u/>
      <sz val="9"/>
      <color theme="10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rgb="FF000000"/>
      <name val="맑은 고딕"/>
      <family val="3"/>
      <charset val="129"/>
    </font>
    <font>
      <sz val="9"/>
      <color theme="1"/>
      <name val="맑은 고딕"/>
      <family val="2"/>
      <charset val="129"/>
      <scheme val="major"/>
    </font>
    <font>
      <sz val="9"/>
      <color theme="1"/>
      <name val="맑은 고딕"/>
      <family val="3"/>
      <charset val="129"/>
      <scheme val="major"/>
    </font>
    <font>
      <sz val="9"/>
      <color theme="0"/>
      <name val="맑은 고딕"/>
      <family val="3"/>
      <charset val="129"/>
      <scheme val="major"/>
    </font>
    <font>
      <b/>
      <sz val="9"/>
      <color theme="4"/>
      <name val="맑은 고딕"/>
      <family val="3"/>
      <charset val="129"/>
      <scheme val="major"/>
    </font>
    <font>
      <b/>
      <sz val="9"/>
      <color rgb="FFC00000"/>
      <name val="맑은 고딕"/>
      <family val="3"/>
      <charset val="129"/>
      <scheme val="major"/>
    </font>
    <font>
      <b/>
      <sz val="9"/>
      <color rgb="FF969696"/>
      <name val="맑은 고딕"/>
      <family val="3"/>
      <charset val="129"/>
      <scheme val="major"/>
    </font>
    <font>
      <b/>
      <sz val="9"/>
      <color rgb="FF777777"/>
      <name val="맑은 고딕"/>
      <family val="3"/>
      <charset val="129"/>
      <scheme val="major"/>
    </font>
    <font>
      <sz val="9"/>
      <color rgb="FF000000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sz val="10"/>
      <color theme="1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rgb="FFF2DCDB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double">
        <color indexed="64"/>
      </top>
      <bottom style="thin">
        <color theme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3">
    <xf numFmtId="0" fontId="0" fillId="0" borderId="0">
      <alignment vertical="center"/>
    </xf>
    <xf numFmtId="176" fontId="21" fillId="0" borderId="0" applyFont="0" applyFill="0" applyBorder="0" applyAlignment="0" applyProtection="0">
      <alignment vertical="center"/>
    </xf>
    <xf numFmtId="0" fontId="21" fillId="0" borderId="0">
      <alignment vertical="center"/>
    </xf>
    <xf numFmtId="0" fontId="8" fillId="0" borderId="0">
      <alignment vertical="center"/>
    </xf>
    <xf numFmtId="0" fontId="31" fillId="0" borderId="0"/>
    <xf numFmtId="0" fontId="32" fillId="0" borderId="0" applyNumberFormat="0" applyFill="0" applyBorder="0" applyAlignment="0" applyProtection="0"/>
    <xf numFmtId="176" fontId="31" fillId="0" borderId="0" applyFont="0" applyFill="0" applyBorder="0" applyAlignment="0" applyProtection="0"/>
    <xf numFmtId="9" fontId="21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21" fillId="0" borderId="0">
      <alignment vertical="center"/>
    </xf>
    <xf numFmtId="9" fontId="5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4" fillId="0" borderId="0">
      <alignment vertical="center"/>
    </xf>
    <xf numFmtId="0" fontId="20" fillId="0" borderId="0">
      <alignment vertical="center"/>
    </xf>
    <xf numFmtId="176" fontId="2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176" fontId="3" fillId="0" borderId="0" applyFont="0" applyFill="0" applyBorder="0" applyAlignment="0" applyProtection="0">
      <alignment vertical="center"/>
    </xf>
    <xf numFmtId="179" fontId="31" fillId="0" borderId="0" applyFont="0" applyFill="0" applyBorder="0" applyAlignment="0" applyProtection="0"/>
    <xf numFmtId="0" fontId="2" fillId="0" borderId="0">
      <alignment vertical="center"/>
    </xf>
    <xf numFmtId="0" fontId="3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9" fontId="31" fillId="0" borderId="0" applyFont="0" applyFill="0" applyBorder="0" applyAlignment="0" applyProtection="0"/>
    <xf numFmtId="41" fontId="2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38">
    <xf numFmtId="0" fontId="0" fillId="0" borderId="0" xfId="0">
      <alignment vertical="center"/>
    </xf>
    <xf numFmtId="0" fontId="17" fillId="5" borderId="3" xfId="0" applyFont="1" applyFill="1" applyBorder="1" applyAlignment="1">
      <alignment horizontal="center" vertical="center"/>
    </xf>
    <xf numFmtId="0" fontId="23" fillId="0" borderId="0" xfId="0" applyFont="1">
      <alignment vertical="center"/>
    </xf>
    <xf numFmtId="0" fontId="23" fillId="0" borderId="0" xfId="0" applyFont="1" applyFill="1">
      <alignment vertical="center"/>
    </xf>
    <xf numFmtId="0" fontId="21" fillId="0" borderId="0" xfId="0" applyFont="1" applyFill="1" applyBorder="1">
      <alignment vertical="center"/>
    </xf>
    <xf numFmtId="0" fontId="10" fillId="0" borderId="0" xfId="0" applyFont="1">
      <alignment vertical="center"/>
    </xf>
    <xf numFmtId="0" fontId="25" fillId="6" borderId="0" xfId="0" applyFont="1" applyFill="1">
      <alignment vertical="center"/>
    </xf>
    <xf numFmtId="0" fontId="15" fillId="6" borderId="0" xfId="0" applyFont="1" applyFill="1">
      <alignment vertical="center"/>
    </xf>
    <xf numFmtId="0" fontId="17" fillId="0" borderId="10" xfId="0" applyFont="1" applyBorder="1" applyAlignment="1">
      <alignment horizontal="left" vertical="center"/>
    </xf>
    <xf numFmtId="0" fontId="17" fillId="0" borderId="13" xfId="0" applyFont="1" applyBorder="1" applyAlignment="1">
      <alignment horizontal="left" vertical="center"/>
    </xf>
    <xf numFmtId="0" fontId="17" fillId="0" borderId="0" xfId="0" applyFont="1" applyFill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24" fillId="0" borderId="0" xfId="0" applyFont="1" applyBorder="1" applyAlignment="1">
      <alignment horizontal="left" vertical="center" indent="1"/>
    </xf>
    <xf numFmtId="0" fontId="24" fillId="0" borderId="0" xfId="0" quotePrefix="1" applyFont="1" applyBorder="1" applyAlignment="1">
      <alignment horizontal="left" vertical="center"/>
    </xf>
    <xf numFmtId="0" fontId="17" fillId="0" borderId="15" xfId="0" applyFont="1" applyBorder="1" applyAlignment="1">
      <alignment horizontal="left" vertical="center"/>
    </xf>
    <xf numFmtId="0" fontId="24" fillId="0" borderId="9" xfId="0" quotePrefix="1" applyFont="1" applyBorder="1" applyAlignment="1">
      <alignment horizontal="left" vertical="center" indent="1"/>
    </xf>
    <xf numFmtId="0" fontId="17" fillId="0" borderId="1" xfId="0" applyFont="1" applyBorder="1" applyAlignment="1">
      <alignment horizontal="left" vertical="center"/>
    </xf>
    <xf numFmtId="0" fontId="24" fillId="0" borderId="1" xfId="0" applyFont="1" applyBorder="1" applyAlignment="1">
      <alignment horizontal="left" vertical="center" indent="1"/>
    </xf>
    <xf numFmtId="0" fontId="24" fillId="0" borderId="1" xfId="0" quotePrefix="1" applyFont="1" applyBorder="1" applyAlignment="1">
      <alignment horizontal="left" vertical="center"/>
    </xf>
    <xf numFmtId="0" fontId="17" fillId="0" borderId="16" xfId="0" applyFont="1" applyBorder="1" applyAlignment="1">
      <alignment horizontal="left" vertical="center"/>
    </xf>
    <xf numFmtId="0" fontId="24" fillId="7" borderId="2" xfId="0" applyFont="1" applyFill="1" applyBorder="1">
      <alignment vertical="center"/>
    </xf>
    <xf numFmtId="0" fontId="24" fillId="0" borderId="7" xfId="0" applyNumberFormat="1" applyFont="1" applyBorder="1">
      <alignment vertical="center"/>
    </xf>
    <xf numFmtId="0" fontId="13" fillId="7" borderId="2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/>
    </xf>
    <xf numFmtId="0" fontId="13" fillId="7" borderId="7" xfId="0" applyFont="1" applyFill="1" applyBorder="1" applyAlignment="1">
      <alignment horizontal="center" vertical="center"/>
    </xf>
    <xf numFmtId="0" fontId="21" fillId="0" borderId="0" xfId="0" applyFont="1" applyBorder="1">
      <alignment vertical="center"/>
    </xf>
    <xf numFmtId="0" fontId="15" fillId="3" borderId="7" xfId="0" applyFont="1" applyFill="1" applyBorder="1" applyAlignment="1">
      <alignment horizontal="center" vertical="center"/>
    </xf>
    <xf numFmtId="0" fontId="26" fillId="0" borderId="7" xfId="0" applyNumberFormat="1" applyFont="1" applyBorder="1">
      <alignment vertical="center"/>
    </xf>
    <xf numFmtId="0" fontId="15" fillId="4" borderId="7" xfId="0" applyFont="1" applyFill="1" applyBorder="1" applyAlignment="1">
      <alignment horizontal="center" vertical="center"/>
    </xf>
    <xf numFmtId="0" fontId="27" fillId="0" borderId="7" xfId="0" applyNumberFormat="1" applyFont="1" applyBorder="1">
      <alignment vertical="center"/>
    </xf>
    <xf numFmtId="0" fontId="13" fillId="2" borderId="7" xfId="0" applyFont="1" applyFill="1" applyBorder="1" applyAlignment="1">
      <alignment horizontal="center" vertical="center"/>
    </xf>
    <xf numFmtId="0" fontId="28" fillId="0" borderId="7" xfId="0" applyNumberFormat="1" applyFont="1" applyBorder="1">
      <alignment vertical="center"/>
    </xf>
    <xf numFmtId="0" fontId="17" fillId="5" borderId="19" xfId="0" applyFont="1" applyFill="1" applyBorder="1" applyAlignment="1">
      <alignment horizontal="center" vertical="center"/>
    </xf>
    <xf numFmtId="0" fontId="17" fillId="0" borderId="20" xfId="0" applyNumberFormat="1" applyFont="1" applyBorder="1">
      <alignment vertical="center"/>
    </xf>
    <xf numFmtId="0" fontId="17" fillId="0" borderId="17" xfId="0" applyFont="1" applyFill="1" applyBorder="1" applyAlignment="1">
      <alignment vertical="center"/>
    </xf>
    <xf numFmtId="178" fontId="17" fillId="0" borderId="0" xfId="0" applyNumberFormat="1" applyFont="1" applyFill="1" applyBorder="1" applyAlignment="1">
      <alignment vertical="center"/>
    </xf>
    <xf numFmtId="9" fontId="17" fillId="0" borderId="16" xfId="0" applyNumberFormat="1" applyFont="1" applyBorder="1">
      <alignment vertical="center"/>
    </xf>
    <xf numFmtId="0" fontId="13" fillId="7" borderId="16" xfId="0" applyFont="1" applyFill="1" applyBorder="1" applyAlignment="1">
      <alignment horizontal="center" vertical="center"/>
    </xf>
    <xf numFmtId="9" fontId="18" fillId="0" borderId="21" xfId="0" applyNumberFormat="1" applyFont="1" applyBorder="1" applyAlignment="1">
      <alignment vertical="center"/>
    </xf>
    <xf numFmtId="0" fontId="13" fillId="7" borderId="12" xfId="0" applyFont="1" applyFill="1" applyBorder="1" applyAlignment="1">
      <alignment horizontal="center" vertical="center"/>
    </xf>
    <xf numFmtId="0" fontId="17" fillId="2" borderId="20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24" fillId="0" borderId="12" xfId="0" applyNumberFormat="1" applyFont="1" applyFill="1" applyBorder="1" applyAlignment="1">
      <alignment horizontal="center" vertical="center"/>
    </xf>
    <xf numFmtId="9" fontId="24" fillId="0" borderId="16" xfId="0" applyNumberFormat="1" applyFont="1" applyFill="1" applyBorder="1" applyAlignment="1">
      <alignment horizontal="center" vertical="center"/>
    </xf>
    <xf numFmtId="0" fontId="26" fillId="0" borderId="16" xfId="0" applyNumberFormat="1" applyFont="1" applyFill="1" applyBorder="1" applyAlignment="1">
      <alignment horizontal="center" vertical="center"/>
    </xf>
    <xf numFmtId="0" fontId="27" fillId="0" borderId="16" xfId="0" applyNumberFormat="1" applyFont="1" applyFill="1" applyBorder="1" applyAlignment="1">
      <alignment horizontal="center" vertical="center"/>
    </xf>
    <xf numFmtId="0" fontId="29" fillId="0" borderId="16" xfId="0" applyNumberFormat="1" applyFont="1" applyFill="1" applyBorder="1" applyAlignment="1">
      <alignment horizontal="center" vertical="center"/>
    </xf>
    <xf numFmtId="0" fontId="24" fillId="0" borderId="16" xfId="0" applyNumberFormat="1" applyFont="1" applyFill="1" applyBorder="1" applyAlignment="1">
      <alignment horizontal="center" vertical="center"/>
    </xf>
    <xf numFmtId="49" fontId="23" fillId="0" borderId="0" xfId="0" applyNumberFormat="1" applyFont="1">
      <alignment vertical="center"/>
    </xf>
    <xf numFmtId="0" fontId="17" fillId="2" borderId="20" xfId="0" applyFont="1" applyFill="1" applyBorder="1" applyAlignment="1">
      <alignment horizontal="center" vertical="center" wrapText="1"/>
    </xf>
    <xf numFmtId="0" fontId="17" fillId="2" borderId="3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17" fillId="2" borderId="7" xfId="0" applyFont="1" applyFill="1" applyBorder="1" applyAlignment="1">
      <alignment horizontal="center" vertical="center"/>
    </xf>
    <xf numFmtId="0" fontId="23" fillId="0" borderId="7" xfId="0" applyFont="1" applyBorder="1" applyAlignment="1">
      <alignment horizontal="center" vertical="center"/>
    </xf>
    <xf numFmtId="0" fontId="9" fillId="0" borderId="0" xfId="0" applyFo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0" fontId="22" fillId="0" borderId="10" xfId="0" applyFont="1" applyBorder="1" applyAlignment="1">
      <alignment vertical="center"/>
    </xf>
    <xf numFmtId="0" fontId="33" fillId="0" borderId="10" xfId="0" applyFont="1" applyBorder="1" applyAlignment="1">
      <alignment horizontal="justify" vertical="center" wrapText="1"/>
    </xf>
    <xf numFmtId="0" fontId="22" fillId="0" borderId="14" xfId="0" applyFont="1" applyBorder="1" applyAlignment="1">
      <alignment vertical="center"/>
    </xf>
    <xf numFmtId="0" fontId="19" fillId="0" borderId="0" xfId="2" applyFont="1">
      <alignment vertical="center"/>
    </xf>
    <xf numFmtId="0" fontId="19" fillId="0" borderId="0" xfId="2" applyFont="1" applyAlignment="1">
      <alignment horizontal="center" vertical="center"/>
    </xf>
    <xf numFmtId="0" fontId="19" fillId="9" borderId="0" xfId="2" applyFont="1" applyFill="1">
      <alignment vertical="center"/>
    </xf>
    <xf numFmtId="0" fontId="12" fillId="9" borderId="4" xfId="2" quotePrefix="1" applyFont="1" applyFill="1" applyBorder="1" applyAlignment="1">
      <alignment horizontal="right" vertical="center" indent="1"/>
    </xf>
    <xf numFmtId="0" fontId="12" fillId="9" borderId="0" xfId="2" applyFont="1" applyFill="1" applyAlignment="1">
      <alignment horizontal="left" vertical="center" indent="1"/>
    </xf>
    <xf numFmtId="0" fontId="19" fillId="9" borderId="0" xfId="2" applyFont="1" applyFill="1" applyAlignment="1">
      <alignment horizontal="center" vertical="center"/>
    </xf>
    <xf numFmtId="0" fontId="19" fillId="8" borderId="11" xfId="2" applyFont="1" applyFill="1" applyBorder="1">
      <alignment vertical="center"/>
    </xf>
    <xf numFmtId="0" fontId="18" fillId="13" borderId="28" xfId="2" applyFont="1" applyFill="1" applyBorder="1" applyAlignment="1">
      <alignment horizontal="center" vertical="center"/>
    </xf>
    <xf numFmtId="0" fontId="18" fillId="12" borderId="2" xfId="2" applyFont="1" applyFill="1" applyBorder="1" applyAlignment="1">
      <alignment horizontal="center" vertical="center"/>
    </xf>
    <xf numFmtId="0" fontId="19" fillId="0" borderId="34" xfId="2" applyFont="1" applyBorder="1" applyAlignment="1">
      <alignment horizontal="center" vertical="center"/>
    </xf>
    <xf numFmtId="0" fontId="19" fillId="0" borderId="28" xfId="2" applyFont="1" applyBorder="1" applyAlignment="1">
      <alignment horizontal="center" vertical="center"/>
    </xf>
    <xf numFmtId="0" fontId="19" fillId="0" borderId="2" xfId="2" applyFont="1" applyBorder="1" applyAlignment="1">
      <alignment horizontal="center" vertical="center"/>
    </xf>
    <xf numFmtId="0" fontId="12" fillId="11" borderId="33" xfId="2" applyFont="1" applyFill="1" applyBorder="1" applyAlignment="1">
      <alignment horizontal="center" vertical="center"/>
    </xf>
    <xf numFmtId="0" fontId="19" fillId="14" borderId="33" xfId="2" applyFont="1" applyFill="1" applyBorder="1" applyAlignment="1">
      <alignment horizontal="center" vertical="center"/>
    </xf>
    <xf numFmtId="0" fontId="19" fillId="0" borderId="33" xfId="2" applyFont="1" applyBorder="1" applyAlignment="1">
      <alignment horizontal="center" vertical="center"/>
    </xf>
    <xf numFmtId="0" fontId="12" fillId="4" borderId="33" xfId="2" applyFont="1" applyFill="1" applyBorder="1" applyAlignment="1">
      <alignment horizontal="center" vertical="center"/>
    </xf>
    <xf numFmtId="0" fontId="18" fillId="8" borderId="33" xfId="2" applyFont="1" applyFill="1" applyBorder="1" applyAlignment="1">
      <alignment horizontal="center" vertical="center"/>
    </xf>
    <xf numFmtId="0" fontId="18" fillId="10" borderId="33" xfId="2" applyFont="1" applyFill="1" applyBorder="1" applyAlignment="1">
      <alignment horizontal="center" vertical="center"/>
    </xf>
    <xf numFmtId="9" fontId="19" fillId="0" borderId="34" xfId="2" applyNumberFormat="1" applyFont="1" applyBorder="1" applyAlignment="1">
      <alignment horizontal="center" vertical="center"/>
    </xf>
    <xf numFmtId="9" fontId="19" fillId="0" borderId="28" xfId="2" applyNumberFormat="1" applyFont="1" applyBorder="1" applyAlignment="1">
      <alignment horizontal="center" vertical="center"/>
    </xf>
    <xf numFmtId="9" fontId="19" fillId="0" borderId="2" xfId="2" applyNumberFormat="1" applyFont="1" applyBorder="1" applyAlignment="1">
      <alignment horizontal="center" vertical="center"/>
    </xf>
    <xf numFmtId="0" fontId="18" fillId="9" borderId="0" xfId="2" applyFont="1" applyFill="1">
      <alignment vertical="center"/>
    </xf>
    <xf numFmtId="0" fontId="18" fillId="9" borderId="0" xfId="2" applyFont="1" applyFill="1" applyAlignment="1">
      <alignment horizontal="center" vertical="center"/>
    </xf>
    <xf numFmtId="177" fontId="12" fillId="6" borderId="5" xfId="2" applyNumberFormat="1" applyFont="1" applyFill="1" applyBorder="1" applyAlignment="1">
      <alignment horizontal="right" vertical="center" indent="1"/>
    </xf>
    <xf numFmtId="0" fontId="12" fillId="6" borderId="0" xfId="2" applyFont="1" applyFill="1" applyAlignment="1">
      <alignment horizontal="left" vertical="center" indent="1"/>
    </xf>
    <xf numFmtId="0" fontId="14" fillId="2" borderId="35" xfId="2" applyFont="1" applyFill="1" applyBorder="1" applyAlignment="1">
      <alignment horizontal="center" vertical="center"/>
    </xf>
    <xf numFmtId="0" fontId="18" fillId="2" borderId="36" xfId="2" applyFont="1" applyFill="1" applyBorder="1" applyAlignment="1">
      <alignment horizontal="center" vertical="center"/>
    </xf>
    <xf numFmtId="0" fontId="14" fillId="2" borderId="36" xfId="2" applyFont="1" applyFill="1" applyBorder="1" applyAlignment="1">
      <alignment horizontal="center" vertical="center"/>
    </xf>
    <xf numFmtId="0" fontId="16" fillId="0" borderId="36" xfId="2" applyFont="1" applyBorder="1" applyAlignment="1">
      <alignment horizontal="center" vertical="center"/>
    </xf>
    <xf numFmtId="0" fontId="12" fillId="6" borderId="0" xfId="2" applyFont="1" applyFill="1" applyAlignment="1">
      <alignment vertical="center"/>
    </xf>
    <xf numFmtId="0" fontId="12" fillId="0" borderId="0" xfId="2" applyFont="1" applyAlignment="1">
      <alignment vertical="center"/>
    </xf>
    <xf numFmtId="0" fontId="21" fillId="0" borderId="0" xfId="2" applyFont="1" applyAlignment="1">
      <alignment vertical="center"/>
    </xf>
    <xf numFmtId="0" fontId="21" fillId="0" borderId="36" xfId="2" applyFont="1" applyBorder="1" applyAlignment="1">
      <alignment horizontal="center" vertical="center"/>
    </xf>
    <xf numFmtId="0" fontId="21" fillId="0" borderId="31" xfId="2" applyFont="1" applyBorder="1" applyAlignment="1">
      <alignment vertical="center"/>
    </xf>
    <xf numFmtId="0" fontId="21" fillId="0" borderId="30" xfId="2" applyFont="1" applyBorder="1" applyAlignment="1">
      <alignment vertical="center"/>
    </xf>
    <xf numFmtId="0" fontId="21" fillId="0" borderId="29" xfId="2" applyFont="1" applyBorder="1" applyAlignment="1">
      <alignment vertical="center"/>
    </xf>
    <xf numFmtId="0" fontId="21" fillId="0" borderId="32" xfId="2" applyFont="1" applyBorder="1" applyAlignment="1">
      <alignment vertical="center"/>
    </xf>
    <xf numFmtId="0" fontId="21" fillId="0" borderId="36" xfId="2" applyFont="1" applyBorder="1" applyAlignment="1">
      <alignment vertical="center"/>
    </xf>
    <xf numFmtId="0" fontId="21" fillId="0" borderId="35" xfId="2" applyFont="1" applyBorder="1" applyAlignment="1">
      <alignment vertical="center"/>
    </xf>
    <xf numFmtId="0" fontId="21" fillId="0" borderId="2" xfId="2" applyFont="1" applyBorder="1" applyAlignment="1">
      <alignment vertical="center"/>
    </xf>
    <xf numFmtId="0" fontId="13" fillId="2" borderId="9" xfId="0" quotePrefix="1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17" fillId="2" borderId="19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/>
    </xf>
    <xf numFmtId="0" fontId="13" fillId="7" borderId="12" xfId="0" applyFont="1" applyFill="1" applyBorder="1" applyAlignment="1">
      <alignment horizontal="center" vertical="center"/>
    </xf>
    <xf numFmtId="0" fontId="17" fillId="0" borderId="17" xfId="0" applyFont="1" applyFill="1" applyBorder="1" applyAlignment="1">
      <alignment horizontal="center" vertical="center"/>
    </xf>
    <xf numFmtId="14" fontId="24" fillId="0" borderId="26" xfId="0" applyNumberFormat="1" applyFont="1" applyBorder="1" applyAlignment="1">
      <alignment horizontal="center" vertical="center"/>
    </xf>
    <xf numFmtId="14" fontId="24" fillId="0" borderId="2" xfId="0" applyNumberFormat="1" applyFont="1" applyBorder="1" applyAlignment="1">
      <alignment horizontal="center" vertical="center"/>
    </xf>
    <xf numFmtId="0" fontId="13" fillId="2" borderId="26" xfId="0" applyFont="1" applyFill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24" fillId="0" borderId="2" xfId="0" applyFont="1" applyBorder="1" applyAlignment="1">
      <alignment horizontal="center" vertical="center" wrapText="1"/>
    </xf>
    <xf numFmtId="0" fontId="13" fillId="2" borderId="27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3" fillId="7" borderId="14" xfId="0" applyFont="1" applyFill="1" applyBorder="1" applyAlignment="1">
      <alignment horizontal="center" vertical="center"/>
    </xf>
    <xf numFmtId="0" fontId="13" fillId="7" borderId="18" xfId="0" applyFont="1" applyFill="1" applyBorder="1" applyAlignment="1">
      <alignment horizontal="center" vertical="center"/>
    </xf>
    <xf numFmtId="0" fontId="23" fillId="0" borderId="6" xfId="0" applyFont="1" applyBorder="1" applyAlignment="1">
      <alignment horizontal="center" vertical="center"/>
    </xf>
    <xf numFmtId="0" fontId="23" fillId="0" borderId="11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18" fillId="8" borderId="34" xfId="2" applyFont="1" applyFill="1" applyBorder="1" applyAlignment="1">
      <alignment horizontal="center" vertical="center"/>
    </xf>
    <xf numFmtId="0" fontId="18" fillId="8" borderId="33" xfId="2" applyFont="1" applyFill="1" applyBorder="1" applyAlignment="1">
      <alignment horizontal="center" vertical="center"/>
    </xf>
    <xf numFmtId="0" fontId="18" fillId="2" borderId="36" xfId="2" applyFont="1" applyFill="1" applyBorder="1" applyAlignment="1">
      <alignment horizontal="center" vertical="center"/>
    </xf>
    <xf numFmtId="0" fontId="21" fillId="0" borderId="11" xfId="0" applyFont="1" applyBorder="1" applyAlignment="1"/>
    <xf numFmtId="0" fontId="21" fillId="0" borderId="2" xfId="0" applyFont="1" applyBorder="1" applyAlignment="1"/>
    <xf numFmtId="0" fontId="14" fillId="2" borderId="36" xfId="2" applyFont="1" applyFill="1" applyBorder="1" applyAlignment="1">
      <alignment horizontal="center" vertical="center"/>
    </xf>
  </cellXfs>
  <cellStyles count="33">
    <cellStyle name="Comma [0] 2" xfId="16"/>
    <cellStyle name="Comma [0] 2 2" xfId="30"/>
    <cellStyle name="Hyperlink 2" xfId="21"/>
    <cellStyle name="Normal 2" xfId="11"/>
    <cellStyle name="Normal 2 2" xfId="12"/>
    <cellStyle name="Normal 2 2 2" xfId="17"/>
    <cellStyle name="Normal 2 2 3" xfId="3"/>
    <cellStyle name="Normal 2 3" xfId="10"/>
    <cellStyle name="Normal 2 4" xfId="9"/>
    <cellStyle name="Normal 2 5" xfId="20"/>
    <cellStyle name="Normal 2 6" xfId="31"/>
    <cellStyle name="백분율 2" xfId="15"/>
    <cellStyle name="백분율 2 2" xfId="7"/>
    <cellStyle name="백분율 3" xfId="29"/>
    <cellStyle name="백분율 5" xfId="18"/>
    <cellStyle name="쉼표 [0] 2" xfId="1"/>
    <cellStyle name="쉼표 [0] 4" xfId="6"/>
    <cellStyle name="쉼표 [0] 4 2" xfId="22"/>
    <cellStyle name="쉼표 [0] 9" xfId="24"/>
    <cellStyle name="쉼표 2" xfId="25"/>
    <cellStyle name="표준" xfId="0" builtinId="0"/>
    <cellStyle name="표준 2" xfId="13"/>
    <cellStyle name="표준 2 2 2 2 3" xfId="14"/>
    <cellStyle name="표준 2 7" xfId="2"/>
    <cellStyle name="표준 3 12" xfId="23"/>
    <cellStyle name="표준 3 12 2" xfId="26"/>
    <cellStyle name="표준 36" xfId="4"/>
    <cellStyle name="표준 39" xfId="28"/>
    <cellStyle name="표준 39 2" xfId="8"/>
    <cellStyle name="표준 39 3" xfId="32"/>
    <cellStyle name="하이퍼링크 2" xfId="19"/>
    <cellStyle name="하이퍼링크 3" xfId="27"/>
    <cellStyle name="하이퍼링크 4 3" xfId="5"/>
  </cellStyles>
  <dxfs count="14">
    <dxf>
      <font>
        <color auto="1"/>
      </font>
      <fill>
        <patternFill>
          <bgColor theme="2" tint="-9.9948118533890809E-2"/>
        </patternFill>
      </fill>
    </dxf>
    <dxf>
      <font>
        <color auto="1"/>
      </font>
      <fill>
        <patternFill>
          <bgColor theme="4" tint="0.79998168889431442"/>
        </patternFill>
      </fill>
    </dxf>
    <dxf>
      <font>
        <color theme="3"/>
      </font>
      <fill>
        <patternFill>
          <bgColor theme="4" tint="0.3999450666829432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14993743705557422"/>
        </patternFill>
      </fill>
    </dxf>
    <dxf>
      <font>
        <color auto="1"/>
      </font>
      <fill>
        <patternFill>
          <bgColor theme="2" tint="-9.9948118533890809E-2"/>
        </patternFill>
      </fill>
    </dxf>
    <dxf>
      <font>
        <color auto="1"/>
      </font>
      <fill>
        <patternFill>
          <bgColor theme="4" tint="0.79998168889431442"/>
        </patternFill>
      </fill>
    </dxf>
    <dxf>
      <fill>
        <patternFill>
          <fgColor indexed="64"/>
          <bgColor rgb="FFDDD9C4"/>
        </patternFill>
      </fill>
    </dxf>
    <dxf>
      <fill>
        <patternFill>
          <fgColor indexed="64"/>
          <bgColor rgb="FFDCE6F1"/>
        </patternFill>
      </fill>
    </dxf>
    <dxf>
      <fill>
        <patternFill>
          <fgColor indexed="64"/>
          <bgColor rgb="FFD9D9D9"/>
        </patternFill>
      </fill>
    </dxf>
    <dxf>
      <font>
        <color rgb="FF1F497D"/>
      </font>
      <fill>
        <patternFill>
          <fgColor indexed="64"/>
          <bgColor rgb="FF9BC2E6"/>
        </patternFill>
      </fill>
    </dxf>
    <dxf>
      <font>
        <color theme="0"/>
      </font>
      <fill>
        <patternFill>
          <fgColor indexed="64"/>
          <bgColor rgb="FFC00000"/>
        </patternFill>
      </fill>
    </dxf>
    <dxf>
      <fill>
        <patternFill>
          <fgColor indexed="64"/>
          <bgColor rgb="FF8080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externalLink" Target="externalLinks/externalLink11.xml"/><Relationship Id="rId18" Type="http://schemas.openxmlformats.org/officeDocument/2006/relationships/externalLink" Target="externalLinks/externalLink16.xml"/><Relationship Id="rId26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21" Type="http://schemas.openxmlformats.org/officeDocument/2006/relationships/externalLink" Target="externalLinks/externalLink19.xml"/><Relationship Id="rId7" Type="http://schemas.openxmlformats.org/officeDocument/2006/relationships/externalLink" Target="externalLinks/externalLink5.xml"/><Relationship Id="rId12" Type="http://schemas.openxmlformats.org/officeDocument/2006/relationships/externalLink" Target="externalLinks/externalLink10.xml"/><Relationship Id="rId17" Type="http://schemas.openxmlformats.org/officeDocument/2006/relationships/externalLink" Target="externalLinks/externalLink15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4.xml"/><Relationship Id="rId20" Type="http://schemas.openxmlformats.org/officeDocument/2006/relationships/externalLink" Target="externalLinks/externalLink18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24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3.xml"/><Relationship Id="rId23" Type="http://schemas.openxmlformats.org/officeDocument/2006/relationships/externalLink" Target="externalLinks/externalLink21.xml"/><Relationship Id="rId28" Type="http://schemas.microsoft.com/office/2006/relationships/vbaProject" Target="vbaProject.bin"/><Relationship Id="rId10" Type="http://schemas.openxmlformats.org/officeDocument/2006/relationships/externalLink" Target="externalLinks/externalLink8.xml"/><Relationship Id="rId19" Type="http://schemas.openxmlformats.org/officeDocument/2006/relationships/externalLink" Target="externalLinks/externalLink17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externalLink" Target="externalLinks/externalLink12.xml"/><Relationship Id="rId22" Type="http://schemas.openxmlformats.org/officeDocument/2006/relationships/externalLink" Target="externalLinks/externalLink20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314324</xdr:colOff>
          <xdr:row>0</xdr:row>
          <xdr:rowOff>57150</xdr:rowOff>
        </xdr:from>
        <xdr:to>
          <xdr:col>9</xdr:col>
          <xdr:colOff>542924</xdr:colOff>
          <xdr:row>1</xdr:row>
          <xdr:rowOff>152400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개괄 자동 갱신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0</xdr:row>
          <xdr:rowOff>57150</xdr:rowOff>
        </xdr:from>
        <xdr:to>
          <xdr:col>11</xdr:col>
          <xdr:colOff>0</xdr:colOff>
          <xdr:row>1</xdr:row>
          <xdr:rowOff>152400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공유 버전 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3</xdr:col>
          <xdr:colOff>209550</xdr:colOff>
          <xdr:row>1</xdr:row>
          <xdr:rowOff>152400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A1 깔끔정리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oha/Desktop/&#47928;&#49436;/V4/0611/V4TW_TestCase_M14_0611&#50629;&#45936;&#51060;&#53944;%200609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obiledivision\&#47784;&#49324;&#48376;2017\&#47784;&#48148;&#51068;&#49324;&#50629;G&#49892;\AXE\16_AXEG\AXEG.02_&#48372;&#44256;\01_SL\&#49548;&#54532;&#53944;%20&#47088;&#52845;%20&#48372;&#44256;\AxE_GLOBAL_&#51068;&#44036;&#51648;&#54364;_190125_22&#51068;&#52264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atgames-my.sharepoint.com/MyDoc/JP/&#48184;&#47088;&#49828;/&#50500;&#51060;&#53596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G\MH\dlskfla_M11\Game\Template\CraftRecipe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0.234.201\&#45349;&#49832;&#45348;&#53944;&#50893;&#49828;%20&#47784;&#48148;&#51068;qa\OH_GB\depot\Design\04)Contents\&#47700;&#51064;&#49884;&#45208;&#47532;&#50724;\&#54540;&#47215;_&#52309;&#53552;1~&#52309;&#53552;4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G\MH\M100\Game\Template\StatSet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0.234.201\&#45349;&#49832;&#45348;&#53944;&#50893;&#49828;%20&#47784;&#48148;&#51068;qa\trunk\Design\00)Common\00)%20JP%20Update\2019-03-28\OH_JP_BattleFormula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G\MH\Main\Game\Template\MasteryPolicy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exono365-my.sharepoint.com/Users/user/Downloads/V4_&#49345;&#54408;_TC&#51008;&#54665;_R_&#49457;&#44592;&#48177;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ictor\DATA_Guest\D:\&#47784;&#48148;&#51068;&#49324;&#50629;G&#49892;\AXE\16_AXEG\AXEG.02_&#48372;&#44256;\01_SL\&#49548;&#54532;&#53944;%20&#47088;&#52845;%20&#48372;&#44256;\AxE_GLOBAL_&#51068;&#44036;&#51648;&#54364;_190125_22&#51068;&#52264;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0.234.201\&#45349;&#49832;&#45348;&#53944;&#50893;&#49828;%20&#47784;&#48148;&#51068;qa\eryxsin\Design\02)Balance\Balance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0.234.201\&#45349;&#49832;&#45348;&#53944;&#50893;&#49828;%20&#47784;&#48148;&#51068;qa\&#44172;&#51076;&#48324;%20&#51088;&#47308;\OVERHIT%20JP\02.%20&#44592;&#54925;&#49436;\0411\OH_JP_BuildhNote_20190328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0.234.201\&#45349;&#49832;&#45348;&#53944;&#50893;&#49828;%20&#47784;&#48148;&#51068;qa\trunk\Design\00)Common\00)%20JP%20Update\2019-03-12\OH_JP_&#51060;&#48292;&#53944;_&#48372;&#49345;_&#54868;&#51060;&#53944;&#45936;&#51060;_&#49884;&#45208;&#47532;&#50724;%20&#48120;&#49496;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0.234.201\&#45349;&#49832;&#45348;&#53944;&#50893;&#49828;%20&#47784;&#48148;&#51068;qa\Users\gyeongseonkim\AppData\Local\Microsoft\Windows\INetCache\Content.Outlook\2M62G07E\OH_JP_BuildhNote_20190312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h_arin\DATA_Guest\WorkSpace_OverHit\trunk\DataSheet\Design\Heroes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0.234.201\&#45349;&#49832;&#45348;&#53944;&#50893;&#49828;%20&#47784;&#48148;&#51068;qa\Users\gooddjm\AppData\Local\Microsoft\Windows\INetCache\Content.Outlook\DXT6R4DN\20180726_&#51210;&#51008;%20&#47448;&#46300;&#48128;&#46972;_&#48372;&#49345;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4V_Workspace\leesb_game_gs2\depot\Design\00)Common\00)%20JP%20Update\2018-09-20\OH_JP_&#53456;&#49324;_&#48372;&#49345;_&#48320;&#44221;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exono365-my.sharepoint.com/Users/heal/AppData/Local/Microsoft/Windows/INetCache/Content.Outlook/VRPW4KWZ/(&#47588;)Macro_V4_DropData_20191030&#44053;.xlsb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WVN-VIRUSA\V4TW_Vina\DATA\TW16_0624_r202576\CraftRecip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vnlee/Downloads/V4_TestCase_M21_&#50501;&#47560;&#53664;&#48268;_&#51068;&#44292;&#44053;&#54868;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WVN-VIRUSA\V4TW_Vina\V4TW_Vina\DATA\TW19_1015_r246068\Optimized\CraftRecip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변경점"/>
      <sheetName val="이벤트"/>
      <sheetName val="D_이벤트"/>
      <sheetName val="Add new fellows"/>
      <sheetName val="SkillBookBox_PurchaseLimit"/>
      <sheetName val="PenguinShop_YellowWhaleCoin"/>
      <sheetName val="PC level-up reward"/>
      <sheetName val="Trail shop glowing box added"/>
      <sheetName val="Guildshop_New manastone boxes"/>
      <sheetName val="DarkSoustone NPC sale price"/>
      <sheetName val="Other Improvement"/>
      <sheetName val="Fellow quest time reduce"/>
      <sheetName val="Local Drop Information"/>
      <sheetName val="Mission reward fixes"/>
      <sheetName val="Local quest Target amount"/>
      <sheetName val="Main-Sub quest reward"/>
      <sheetName val="DropRateIncrease"/>
      <sheetName val="EnhanceProbability"/>
      <sheetName val="ChangeReinforcementLevel"/>
      <sheetName val="Octopus coin drop rate"/>
      <sheetName val="Additional Crystal Collec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국가별지표"/>
      <sheetName val="주요지표(비교)"/>
      <sheetName val="전체지표요약(일자별) (2)"/>
      <sheetName val="전체지표요약(일자별)"/>
      <sheetName val="실시간일차"/>
      <sheetName val="MM,DR"/>
      <sheetName val="요약(주간)"/>
      <sheetName val="요약(누적)(주간)"/>
      <sheetName val="요약(누적)"/>
      <sheetName val="요약"/>
      <sheetName val="게임별종합(일간)"/>
      <sheetName val="게임별종합(글로벌)"/>
      <sheetName val="퍼널"/>
      <sheetName val="상품별매출(요약)"/>
      <sheetName val="상품별매출(누적)"/>
      <sheetName val="상품별PU(누적)"/>
      <sheetName val="마켓별인앱매출"/>
      <sheetName val="마켓별인앱매출(글로벌)"/>
      <sheetName val="잔존율 요약"/>
      <sheetName val="잔존율집계"/>
      <sheetName val="잔존율집계(글로벌)"/>
      <sheetName val="잔존율 요약 EN"/>
      <sheetName val="잔존율집계(글로벌)EN"/>
      <sheetName val="서버별매출"/>
      <sheetName val="Cod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ulator"/>
      <sheetName val="AVERAGE"/>
      <sheetName val="ItemTable"/>
      <sheetName val="Weapon"/>
      <sheetName val="Armor"/>
      <sheetName val="Accessory"/>
      <sheetName val="Avatar"/>
      <sheetName val="PC"/>
      <sheetName val="SpecTable"/>
      <sheetName val="Spec_Summary"/>
      <sheetName val="계산기"/>
      <sheetName val="Sheet5"/>
      <sheetName val="NeededEX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C1">
            <v>0.15</v>
          </cell>
        </row>
      </sheetData>
      <sheetData sheetId="10"/>
      <sheetData sheetId="11"/>
      <sheetData sheetId="1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Definition"/>
      <sheetName val="#DesignSheet"/>
      <sheetName val="#Reference"/>
      <sheetName val="CraftRecipe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스토리 플롯"/>
      <sheetName val="설정 수정"/>
      <sheetName val="챕터별 내용"/>
      <sheetName val="지형리스트"/>
      <sheetName val="○登場人物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1_1 완전 사막</v>
          </cell>
        </row>
        <row r="2">
          <cell r="B2" t="str">
            <v>1_2 물이 있는 사막</v>
          </cell>
        </row>
        <row r="3">
          <cell r="B3" t="str">
            <v>1_3 돌이 많은 황무지</v>
          </cell>
        </row>
        <row r="4">
          <cell r="B4" t="str">
            <v>1_4 거대한 뼈와 먼지 사막</v>
          </cell>
        </row>
        <row r="5">
          <cell r="B5" t="str">
            <v>1_5 암벽, 폭포, 야자수, 거대 석문</v>
          </cell>
        </row>
        <row r="6">
          <cell r="B6" t="str">
            <v>1_6 야자수, 폐허, 2층 유적</v>
          </cell>
        </row>
        <row r="7">
          <cell r="B7" t="str">
            <v>1_7 버려진 유적 내부(실내)</v>
          </cell>
        </row>
        <row r="8">
          <cell r="B8" t="str">
            <v>2_1 마법도시 다리 위</v>
          </cell>
        </row>
        <row r="9">
          <cell r="B9" t="str">
            <v>2_2 도시, 공원, 거대 마법석</v>
          </cell>
        </row>
        <row r="10">
          <cell r="B10" t="str">
            <v>2_3 멋있는 복도</v>
          </cell>
        </row>
        <row r="11">
          <cell r="B11" t="str">
            <v>2_4 뒷골목, 건축중인 건물</v>
          </cell>
        </row>
        <row r="12">
          <cell r="B12" t="str">
            <v>2_5 활기찬 시가지, 갈림길</v>
          </cell>
        </row>
        <row r="13">
          <cell r="B13" t="str">
            <v>2_6 화려한 건물 내부, 약장, 망원경(실내)</v>
          </cell>
        </row>
        <row r="14">
          <cell r="B14" t="str">
            <v>2_7 화려한 도서관(실내)</v>
          </cell>
        </row>
        <row r="15">
          <cell r="B15" t="str">
            <v>3_1 간헐천, 파묵칼레, 황무지, 바위</v>
          </cell>
        </row>
        <row r="16">
          <cell r="B16" t="str">
            <v>3_2 고인돌, 뼈, 용암, 화산</v>
          </cell>
        </row>
        <row r="17">
          <cell r="B17" t="str">
            <v>3_3 암벽 옆 길, 용암</v>
          </cell>
        </row>
        <row r="18">
          <cell r="B18" t="str">
            <v>3_4 암벽 사이 길, 용암</v>
          </cell>
        </row>
        <row r="19">
          <cell r="B19" t="str">
            <v>3_5 탄광 입구</v>
          </cell>
        </row>
        <row r="20">
          <cell r="B20" t="str">
            <v>3_6 탄광 내부(실내), 용암</v>
          </cell>
        </row>
        <row r="21">
          <cell r="B21" t="str">
            <v>3_7 용암, 용암 결정, 거대한 문, 모르도르?</v>
          </cell>
        </row>
        <row r="22">
          <cell r="B22" t="str">
            <v>4_1 역 플랫폼, 기차, 지붕</v>
          </cell>
        </row>
        <row r="23">
          <cell r="B23" t="str">
            <v>4_2 하수구(실내)</v>
          </cell>
        </row>
        <row r="24">
          <cell r="B24" t="str">
            <v>4_3 건물 옥상 길</v>
          </cell>
        </row>
        <row r="25">
          <cell r="B25" t="str">
            <v>4_4 옥상 공장(실내)</v>
          </cell>
        </row>
        <row r="26">
          <cell r="B26" t="str">
            <v>4_5 공장, 거대 코일(실내)</v>
          </cell>
        </row>
        <row r="27">
          <cell r="B27" t="str">
            <v>4_6 비행선 조종실, 콘솔(실내)</v>
          </cell>
        </row>
        <row r="28">
          <cell r="B28" t="str">
            <v>4_7 역 플랫폼 끝부분</v>
          </cell>
        </row>
        <row r="29">
          <cell r="B29" t="str">
            <v>5_1 절벽 위 정원</v>
          </cell>
        </row>
        <row r="30">
          <cell r="B30" t="str">
            <v>5_2 폭포, 연못, 동굴 입구</v>
          </cell>
        </row>
        <row r="31">
          <cell r="B31" t="str">
            <v>5_3 토리이, 연못, 정자</v>
          </cell>
        </row>
        <row r="32">
          <cell r="B32" t="str">
            <v>5_4 동양, 마을</v>
          </cell>
        </row>
        <row r="33">
          <cell r="B33" t="str">
            <v>5_5 저수지, 풀길, 호수, 서낭당</v>
          </cell>
        </row>
        <row r="34">
          <cell r="B34" t="str">
            <v>비공정 위</v>
          </cell>
        </row>
        <row r="35">
          <cell r="B35" t="str">
            <v>기타_2</v>
          </cell>
        </row>
        <row r="36">
          <cell r="B36" t="str">
            <v>기타_3</v>
          </cell>
        </row>
        <row r="37">
          <cell r="B37" t="str">
            <v>기타_4</v>
          </cell>
        </row>
        <row r="38">
          <cell r="B38" t="str">
            <v>기타_5</v>
          </cell>
        </row>
      </sheetData>
      <sheetData sheetId="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#Def"/>
      <sheetName val="#Stat"/>
      <sheetName val="#QuestStep"/>
      <sheetName val="#StatSet"/>
      <sheetName val="#Npc"/>
    </sheetNames>
    <sheetDataSet>
      <sheetData sheetId="0" refreshError="1"/>
      <sheetData sheetId="1">
        <row r="2">
          <cell r="C2" t="str">
            <v>D:\NG\MH\Main\Game\Template\[StatSet.xlsx]#Stat</v>
          </cell>
        </row>
      </sheetData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시뮬레이션"/>
      <sheetName val="전투 공식 (피해 감소율)"/>
    </sheetNames>
    <sheetDataSet>
      <sheetData sheetId="0"/>
      <sheetData sheetId="1">
        <row r="1">
          <cell r="B1">
            <v>1</v>
          </cell>
        </row>
        <row r="2">
          <cell r="B2">
            <v>0</v>
          </cell>
        </row>
        <row r="3">
          <cell r="B3">
            <v>1</v>
          </cell>
        </row>
        <row r="4">
          <cell r="B4" t="str">
            <v>역상성</v>
          </cell>
        </row>
      </sheetData>
      <sheetData sheetId="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#MasteryDesign"/>
      <sheetName val="Definition"/>
    </sheetNames>
    <sheetDataSet>
      <sheetData sheetId="0"/>
      <sheetData sheetId="1">
        <row r="5">
          <cell r="I5">
            <v>5</v>
          </cell>
        </row>
        <row r="6">
          <cell r="I6">
            <v>100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분류DB"/>
      <sheetName val="TC은행DB"/>
      <sheetName val="신규상품DB"/>
      <sheetName val="TC은행"/>
      <sheetName val="TC_NEW"/>
      <sheetName val="V4_상품_TC은행_R_성기백"/>
    </sheetNames>
    <sheetDataSet>
      <sheetData sheetId="0">
        <row r="1">
          <cell r="A1" t="str">
            <v>대분류</v>
          </cell>
        </row>
      </sheetData>
      <sheetData sheetId="1">
        <row r="3">
          <cell r="B3" t="str">
            <v>눈부신 탈것 소환 (리뉴얼)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국가별지표"/>
      <sheetName val="주요지표(비교)"/>
      <sheetName val="전체지표요약(일자별) (2)"/>
      <sheetName val="전체지표요약(일자별)"/>
      <sheetName val="실시간일차"/>
      <sheetName val="MM,DR"/>
      <sheetName val="요약(주간)"/>
      <sheetName val="요약(누적)(주간)"/>
      <sheetName val="요약(누적)"/>
      <sheetName val="요약"/>
      <sheetName val="게임별종합(일간)"/>
      <sheetName val="게임별종합(글로벌)"/>
      <sheetName val="퍼널"/>
      <sheetName val="상품별매출(요약)"/>
      <sheetName val="상품별매출(누적)"/>
      <sheetName val="상품별PU(누적)"/>
      <sheetName val="마켓별인앱매출"/>
      <sheetName val="마켓별인앱매출(글로벌)"/>
      <sheetName val="잔존율 요약"/>
      <sheetName val="잔존율집계"/>
      <sheetName val="잔존율집계(글로벌)"/>
      <sheetName val="잔존율 요약 EN"/>
      <sheetName val="잔존율집계(글로벌)EN"/>
      <sheetName val="서버별매출"/>
      <sheetName val="Cod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"/>
      <sheetName val="0_Info"/>
      <sheetName val="1_Exp"/>
      <sheetName val="2_Contents"/>
      <sheetName val="Hero"/>
      <sheetName val="Contents_참조"/>
      <sheetName val="Sheet1"/>
      <sheetName val="3_Strong"/>
      <sheetName val="4_Option"/>
      <sheetName val="5_Gem"/>
      <sheetName val="6_Gold"/>
      <sheetName val="7_골드소모"/>
      <sheetName val="골드_참조"/>
      <sheetName val="Hero_Sub"/>
      <sheetName val="Contents_참조 (구버전)"/>
    </sheetNames>
    <sheetDataSet>
      <sheetData sheetId="0"/>
      <sheetData sheetId="1">
        <row r="5">
          <cell r="D5">
            <v>180</v>
          </cell>
        </row>
      </sheetData>
      <sheetData sheetId="2"/>
      <sheetData sheetId="3"/>
      <sheetData sheetId="4"/>
      <sheetData sheetId="5" refreshError="1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1."/>
      <sheetName val="Battle_formula"/>
      <sheetName val="Buddy List"/>
      <sheetName val="Buddy 명세서"/>
      <sheetName val="펫관련업적"/>
      <sheetName val="토벌전 토큰 교환 명세서"/>
      <sheetName val="PetMissioin#2"/>
      <sheetName val="패키지"/>
      <sheetName val="신규복귀패키지"/>
      <sheetName val="Sphinx_NPC#1"/>
      <sheetName val="Sphinx_Box#1"/>
      <sheetName val="Sphinx_Mission,Reward#1"/>
      <sheetName val="Fools' Day#2"/>
      <sheetName val="Fool's Day_Dungeon#6"/>
      <sheetName val="Hero_Myer#8"/>
      <sheetName val="Scenario_Myer#2"/>
      <sheetName val="Nexon JIRA"/>
      <sheetName val="Charac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pt"/>
      <sheetName val="Mission_GB"/>
      <sheetName val="StringSystem_GB"/>
      <sheetName val="2018.12_재화획득현황"/>
      <sheetName val="참조"/>
      <sheetName val="참조_achieveCondition"/>
      <sheetName val="등록"/>
      <sheetName val="Heroes_GB"/>
      <sheetName val="Gacha_GB"/>
      <sheetName val="CurrencyData_GB"/>
      <sheetName val="ItemEquipment_GB"/>
      <sheetName val="ItemStackable_GB"/>
      <sheetName val="HeroGrade_GB"/>
    </sheetNames>
    <sheetDataSet>
      <sheetData sheetId="0"/>
      <sheetData sheetId="1"/>
      <sheetData sheetId="2"/>
      <sheetData sheetId="3"/>
      <sheetData sheetId="4">
        <row r="3">
          <cell r="B3" t="str">
            <v>Weapon</v>
          </cell>
          <cell r="C3" t="str">
            <v>무기</v>
          </cell>
          <cell r="D3" t="str">
            <v>Physical</v>
          </cell>
          <cell r="E3" t="str">
            <v>물리형</v>
          </cell>
          <cell r="F3" t="str">
            <v>Fehu</v>
          </cell>
          <cell r="G3" t="str">
            <v>불</v>
          </cell>
          <cell r="L3" t="str">
            <v>C</v>
          </cell>
        </row>
        <row r="4">
          <cell r="B4" t="str">
            <v>Armor</v>
          </cell>
          <cell r="C4" t="str">
            <v>방어구</v>
          </cell>
          <cell r="D4" t="str">
            <v>Magical</v>
          </cell>
          <cell r="E4" t="str">
            <v>마법형</v>
          </cell>
          <cell r="F4" t="str">
            <v>Efa</v>
          </cell>
          <cell r="G4" t="str">
            <v>물</v>
          </cell>
          <cell r="L4" t="str">
            <v>B</v>
          </cell>
        </row>
        <row r="5">
          <cell r="B5" t="str">
            <v>Accessory</v>
          </cell>
          <cell r="C5" t="str">
            <v>장신구</v>
          </cell>
          <cell r="D5" t="str">
            <v>All</v>
          </cell>
          <cell r="E5" t="str">
            <v>공통</v>
          </cell>
          <cell r="F5" t="str">
            <v>Jeran</v>
          </cell>
          <cell r="G5" t="str">
            <v>숲</v>
          </cell>
          <cell r="L5" t="str">
            <v>A</v>
          </cell>
        </row>
        <row r="6">
          <cell r="B6" t="str">
            <v>Privateitem</v>
          </cell>
          <cell r="C6" t="str">
            <v>그리모어</v>
          </cell>
          <cell r="F6" t="str">
            <v>Kaunan</v>
          </cell>
          <cell r="G6" t="str">
            <v>빛</v>
          </cell>
          <cell r="L6" t="str">
            <v>S</v>
          </cell>
        </row>
        <row r="7">
          <cell r="F7" t="str">
            <v>Pertho</v>
          </cell>
          <cell r="G7" t="str">
            <v>암</v>
          </cell>
        </row>
      </sheetData>
      <sheetData sheetId="5">
        <row r="3">
          <cell r="A3" t="str">
            <v>EnterArena</v>
          </cell>
          <cell r="B3">
            <v>0</v>
          </cell>
          <cell r="C3">
            <v>0</v>
          </cell>
          <cell r="D3" t="str">
            <v>결투장 입장</v>
          </cell>
        </row>
        <row r="4">
          <cell r="A4" t="str">
            <v>WinArena</v>
          </cell>
          <cell r="B4">
            <v>0</v>
          </cell>
          <cell r="C4">
            <v>0</v>
          </cell>
          <cell r="D4" t="str">
            <v>결투장 승리</v>
          </cell>
        </row>
        <row r="5">
          <cell r="A5" t="str">
            <v>MasterLevel</v>
          </cell>
          <cell r="B5">
            <v>0</v>
          </cell>
          <cell r="C5">
            <v>0</v>
          </cell>
          <cell r="D5" t="str">
            <v>유저 레벨업</v>
          </cell>
        </row>
        <row r="6">
          <cell r="A6" t="str">
            <v>LevelUpHero_Grade</v>
          </cell>
          <cell r="B6">
            <v>0</v>
          </cell>
          <cell r="C6">
            <v>0</v>
          </cell>
          <cell r="D6" t="str">
            <v>영웅 레벨업</v>
          </cell>
        </row>
        <row r="7">
          <cell r="A7" t="str">
            <v>EnchantHero_Grade</v>
          </cell>
          <cell r="B7">
            <v>0</v>
          </cell>
          <cell r="C7">
            <v>0</v>
          </cell>
          <cell r="D7" t="str">
            <v>영웅 그레이드업</v>
          </cell>
        </row>
        <row r="8">
          <cell r="A8" t="str">
            <v>EnchantHero_Grade</v>
          </cell>
          <cell r="B8">
            <v>1</v>
          </cell>
          <cell r="C8">
            <v>0</v>
          </cell>
          <cell r="D8" t="str">
            <v>영웅 C그레이드업</v>
          </cell>
        </row>
        <row r="9">
          <cell r="A9" t="str">
            <v>EnchantHero_Grade</v>
          </cell>
          <cell r="B9">
            <v>2</v>
          </cell>
          <cell r="C9">
            <v>0</v>
          </cell>
          <cell r="D9" t="str">
            <v>영웅 B그레이드업</v>
          </cell>
        </row>
        <row r="10">
          <cell r="A10" t="str">
            <v>EnchantHero_Grade</v>
          </cell>
          <cell r="B10">
            <v>3</v>
          </cell>
          <cell r="C10">
            <v>0</v>
          </cell>
          <cell r="D10" t="str">
            <v>영웅 A그레이드업</v>
          </cell>
        </row>
        <row r="11">
          <cell r="A11" t="str">
            <v>EnchantHero_Grade</v>
          </cell>
          <cell r="B11">
            <v>4</v>
          </cell>
          <cell r="C11">
            <v>0</v>
          </cell>
          <cell r="D11" t="str">
            <v>영웅 S그레이드업</v>
          </cell>
        </row>
        <row r="12">
          <cell r="A12" t="str">
            <v>LimitBreakHero</v>
          </cell>
          <cell r="B12">
            <v>0</v>
          </cell>
          <cell r="C12">
            <v>0</v>
          </cell>
          <cell r="D12" t="str">
            <v>영웅 한계돌파</v>
          </cell>
        </row>
        <row r="13">
          <cell r="A13" t="str">
            <v>AbilityUpHero</v>
          </cell>
          <cell r="B13">
            <v>0</v>
          </cell>
          <cell r="C13">
            <v>0</v>
          </cell>
          <cell r="D13" t="str">
            <v>영웅 어빌리티업</v>
          </cell>
        </row>
        <row r="14">
          <cell r="A14" t="str">
            <v>AddHero_Grade</v>
          </cell>
          <cell r="B14">
            <v>0</v>
          </cell>
          <cell r="C14">
            <v>0</v>
          </cell>
          <cell r="D14" t="str">
            <v>영웅 획득</v>
          </cell>
        </row>
        <row r="15">
          <cell r="A15" t="str">
            <v>AddHero_Grade</v>
          </cell>
          <cell r="B15" t="str">
            <v>Blossom_G6</v>
          </cell>
          <cell r="C15">
            <v>0</v>
          </cell>
          <cell r="D15" t="str">
            <v>블라섬 획득</v>
          </cell>
        </row>
        <row r="16">
          <cell r="A16" t="str">
            <v>AddHero_Gacha</v>
          </cell>
          <cell r="B16">
            <v>0</v>
          </cell>
          <cell r="C16">
            <v>0</v>
          </cell>
          <cell r="D16" t="str">
            <v>영웅 소환</v>
          </cell>
        </row>
        <row r="17">
          <cell r="A17" t="str">
            <v>SkillLevelUpHero</v>
          </cell>
          <cell r="B17">
            <v>0</v>
          </cell>
          <cell r="C17">
            <v>0</v>
          </cell>
          <cell r="D17" t="str">
            <v>영웅 스킬레벨업</v>
          </cell>
        </row>
        <row r="18">
          <cell r="A18" t="str">
            <v>LevelUpItem</v>
          </cell>
          <cell r="B18">
            <v>0</v>
          </cell>
          <cell r="C18">
            <v>0</v>
          </cell>
          <cell r="D18" t="str">
            <v>장비 레벨업</v>
          </cell>
        </row>
        <row r="19">
          <cell r="A19" t="str">
            <v>AddItem_Gacha</v>
          </cell>
          <cell r="B19">
            <v>0</v>
          </cell>
          <cell r="C19">
            <v>0</v>
          </cell>
          <cell r="D19" t="str">
            <v>장비 소환</v>
          </cell>
        </row>
        <row r="20">
          <cell r="A20" t="str">
            <v>CombinationItem_ItemStarRating</v>
          </cell>
          <cell r="B20">
            <v>0</v>
          </cell>
          <cell r="C20">
            <v>0</v>
          </cell>
          <cell r="D20" t="str">
            <v>장비 성급 업</v>
          </cell>
        </row>
        <row r="21">
          <cell r="A21" t="str">
            <v>LimitbreakItem</v>
          </cell>
          <cell r="B21">
            <v>0</v>
          </cell>
          <cell r="C21">
            <v>0</v>
          </cell>
          <cell r="D21" t="str">
            <v>장비 한계돌파</v>
          </cell>
        </row>
        <row r="22">
          <cell r="A22" t="str">
            <v>EnterSuppressRaid</v>
          </cell>
          <cell r="B22">
            <v>0</v>
          </cell>
          <cell r="C22">
            <v>0</v>
          </cell>
          <cell r="D22" t="str">
            <v>토벌전 입장</v>
          </cell>
        </row>
        <row r="23">
          <cell r="A23" t="str">
            <v>WinSuppressRaid</v>
          </cell>
          <cell r="B23">
            <v>0</v>
          </cell>
          <cell r="C23">
            <v>0</v>
          </cell>
          <cell r="D23" t="str">
            <v>토벌전 승리</v>
          </cell>
        </row>
        <row r="24">
          <cell r="A24" t="str">
            <v>CreateSuppressRaid</v>
          </cell>
          <cell r="B24">
            <v>0</v>
          </cell>
          <cell r="C24">
            <v>0</v>
          </cell>
          <cell r="D24" t="str">
            <v>토벌전 소환</v>
          </cell>
        </row>
        <row r="25">
          <cell r="A25" t="str">
            <v>SuppressRaid_Point</v>
          </cell>
          <cell r="B25" t="str">
            <v>LordWell</v>
          </cell>
          <cell r="C25">
            <v>0</v>
          </cell>
          <cell r="D25" t="str">
            <v>로드웰 포인트</v>
          </cell>
        </row>
        <row r="26">
          <cell r="A26" t="str">
            <v>CreateSuppressRaid_Private</v>
          </cell>
          <cell r="B26" t="str">
            <v>LordWell</v>
          </cell>
          <cell r="C26">
            <v>0</v>
          </cell>
          <cell r="D26" t="str">
            <v>로드웰 소환</v>
          </cell>
        </row>
        <row r="27">
          <cell r="A27" t="str">
            <v>EnterSuppressRaid_Private</v>
          </cell>
          <cell r="B27" t="str">
            <v>Arachnes</v>
          </cell>
          <cell r="C27">
            <v>0</v>
          </cell>
          <cell r="D27" t="str">
            <v>아라크네스 입장</v>
          </cell>
        </row>
        <row r="28">
          <cell r="A28" t="str">
            <v>ClearStage</v>
          </cell>
          <cell r="B28">
            <v>0</v>
          </cell>
          <cell r="C28">
            <v>0</v>
          </cell>
          <cell r="D28" t="str">
            <v>모험 승리</v>
          </cell>
        </row>
        <row r="29">
          <cell r="A29" t="str">
            <v>ClearChapter</v>
          </cell>
          <cell r="B29" t="str">
            <v>Chapter_1</v>
          </cell>
          <cell r="C29">
            <v>0</v>
          </cell>
          <cell r="D29" t="str">
            <v>모험 1챕터 승리</v>
          </cell>
        </row>
        <row r="30">
          <cell r="A30" t="str">
            <v>RecvRewardMissionCategory</v>
          </cell>
          <cell r="B30" t="str">
            <v>Daily</v>
          </cell>
          <cell r="C30">
            <v>0</v>
          </cell>
          <cell r="D30" t="str">
            <v>일일 미션 완료</v>
          </cell>
        </row>
        <row r="31">
          <cell r="A31" t="str">
            <v>RecvRewardMissionAttendance</v>
          </cell>
          <cell r="B31" t="str">
            <v>SevenDays</v>
          </cell>
          <cell r="C31">
            <v>1</v>
          </cell>
          <cell r="D31" t="str">
            <v>7일 미션 1일차 완료</v>
          </cell>
        </row>
        <row r="32">
          <cell r="A32" t="str">
            <v>Decompose</v>
          </cell>
          <cell r="B32" t="str">
            <v>Hero</v>
          </cell>
          <cell r="C32">
            <v>0</v>
          </cell>
          <cell r="D32" t="str">
            <v>영웅 분해</v>
          </cell>
        </row>
        <row r="33">
          <cell r="A33" t="str">
            <v>ClearAirship</v>
          </cell>
          <cell r="B33">
            <v>0</v>
          </cell>
          <cell r="C33">
            <v>0</v>
          </cell>
          <cell r="D33" t="str">
            <v>탐사 승리</v>
          </cell>
        </row>
        <row r="34">
          <cell r="A34" t="str">
            <v>EnterAirship</v>
          </cell>
          <cell r="B34">
            <v>0</v>
          </cell>
          <cell r="C34">
            <v>0</v>
          </cell>
          <cell r="D34" t="str">
            <v>탐사 입장</v>
          </cell>
        </row>
        <row r="35">
          <cell r="A35" t="str">
            <v>ClearAirship_Difficulty</v>
          </cell>
          <cell r="B35" t="str">
            <v>Easy</v>
          </cell>
          <cell r="C35">
            <v>0</v>
          </cell>
          <cell r="D35" t="str">
            <v>탐사 Easy 모두 승리</v>
          </cell>
        </row>
        <row r="36">
          <cell r="A36" t="str">
            <v>ClearAirship_UseHero</v>
          </cell>
          <cell r="B36">
            <v>30</v>
          </cell>
          <cell r="C36">
            <v>0</v>
          </cell>
          <cell r="D36" t="str">
            <v xml:space="preserve">탐사 최상급 30명 이하로 모두 승리 </v>
          </cell>
        </row>
        <row r="37">
          <cell r="A37" t="str">
            <v>KillMonster_CombatType</v>
          </cell>
          <cell r="B37" t="str">
            <v>Jeran</v>
          </cell>
          <cell r="C37">
            <v>0</v>
          </cell>
          <cell r="D37" t="str">
            <v>숲 몬스터 처치</v>
          </cell>
        </row>
        <row r="38">
          <cell r="A38" t="str">
            <v>KillMonster_CombatType</v>
          </cell>
          <cell r="B38" t="str">
            <v>Fehu</v>
          </cell>
          <cell r="C38">
            <v>0</v>
          </cell>
          <cell r="D38" t="str">
            <v>불 몬스터 처치</v>
          </cell>
        </row>
        <row r="39">
          <cell r="A39" t="str">
            <v>KillMonster_CombatType</v>
          </cell>
          <cell r="B39" t="str">
            <v>Efa</v>
          </cell>
          <cell r="C39">
            <v>0</v>
          </cell>
          <cell r="D39" t="str">
            <v>물 몬스터 처치</v>
          </cell>
        </row>
        <row r="40">
          <cell r="A40" t="str">
            <v>KillMonster_CombatType</v>
          </cell>
          <cell r="B40" t="str">
            <v>Pertho</v>
          </cell>
          <cell r="C40">
            <v>0</v>
          </cell>
          <cell r="D40" t="str">
            <v>암 몬스터 처치</v>
          </cell>
        </row>
        <row r="41">
          <cell r="A41" t="str">
            <v>KillMonster_CombatType</v>
          </cell>
          <cell r="B41" t="str">
            <v>Kaunan</v>
          </cell>
          <cell r="C41">
            <v>0</v>
          </cell>
          <cell r="D41" t="str">
            <v>빛 몬스터 처치</v>
          </cell>
        </row>
        <row r="42">
          <cell r="A42" t="str">
            <v>WinWeekDungeon</v>
          </cell>
          <cell r="B42">
            <v>0</v>
          </cell>
          <cell r="C42">
            <v>0</v>
          </cell>
          <cell r="D42" t="str">
            <v>요일 던전 승리</v>
          </cell>
        </row>
        <row r="43">
          <cell r="A43" t="str">
            <v>EnterWeekDungeon</v>
          </cell>
          <cell r="B43">
            <v>0</v>
          </cell>
          <cell r="C43">
            <v>0</v>
          </cell>
          <cell r="D43" t="str">
            <v>요일 던전 입장</v>
          </cell>
        </row>
        <row r="44">
          <cell r="A44" t="str">
            <v>MakeCurrency</v>
          </cell>
          <cell r="B44" t="str">
            <v>Gold</v>
          </cell>
          <cell r="C44">
            <v>0</v>
          </cell>
          <cell r="D44" t="str">
            <v>골드 획득</v>
          </cell>
        </row>
        <row r="45">
          <cell r="A45" t="str">
            <v>SpendCurrency</v>
          </cell>
          <cell r="B45" t="str">
            <v>Gold</v>
          </cell>
          <cell r="C45">
            <v>0</v>
          </cell>
          <cell r="D45" t="str">
            <v>골드 소모</v>
          </cell>
        </row>
        <row r="46">
          <cell r="A46" t="str">
            <v>SpendCurrency</v>
          </cell>
          <cell r="B46" t="str">
            <v>SoulStone</v>
          </cell>
          <cell r="C46">
            <v>0</v>
          </cell>
          <cell r="D46" t="str">
            <v>에센스 소모</v>
          </cell>
        </row>
        <row r="47">
          <cell r="A47" t="str">
            <v>CompleteRecon</v>
          </cell>
          <cell r="B47">
            <v>0</v>
          </cell>
          <cell r="C47">
            <v>0</v>
          </cell>
          <cell r="D47" t="str">
            <v>정찰 완료</v>
          </cell>
        </row>
        <row r="48">
          <cell r="A48" t="str">
            <v>AttendRegularReward</v>
          </cell>
          <cell r="B48">
            <v>0</v>
          </cell>
          <cell r="C48">
            <v>0</v>
          </cell>
          <cell r="D48" t="str">
            <v>출석</v>
          </cell>
        </row>
        <row r="49">
          <cell r="A49" t="str">
            <v>ClearStage</v>
          </cell>
          <cell r="B49">
            <v>0</v>
          </cell>
          <cell r="C49">
            <v>0</v>
          </cell>
          <cell r="D49" t="str">
            <v>특정 모험 클리어</v>
          </cell>
        </row>
        <row r="50">
          <cell r="A50" t="str">
            <v>KillMonster_CombatType</v>
          </cell>
          <cell r="B50">
            <v>0</v>
          </cell>
          <cell r="C50">
            <v>0</v>
          </cell>
          <cell r="D50" t="str">
            <v>몬스터 처치</v>
          </cell>
        </row>
        <row r="51">
          <cell r="A51" t="str">
            <v>Attend_Continuous</v>
          </cell>
          <cell r="B51">
            <v>0</v>
          </cell>
          <cell r="C51">
            <v>0</v>
          </cell>
          <cell r="D51" t="str">
            <v>연속 출석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스핑크스정책"/>
      <sheetName val="v1.5.54177"/>
      <sheetName val="화이트데이 시나리오 미션#2"/>
      <sheetName val="모험)Chapter18_Level#1"/>
      <sheetName val="모험)Chapter18_보상#2"/>
      <sheetName val="영웅)하부브#3"/>
      <sheetName val="영웅)바니#3"/>
      <sheetName val="영웅)타란텔라#5"/>
      <sheetName val="강림)바니_Design#4"/>
      <sheetName val="강림)바니_보상#6"/>
      <sheetName val="빛의 신룡_몬스터#4"/>
      <sheetName val="빛의신룡_보상#2"/>
      <sheetName val="플레이시간"/>
      <sheetName val="패키지"/>
      <sheetName val="Nexon JIRA"/>
      <sheetName val="Charac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#Define"/>
      <sheetName val="스탯 함수 처리 결과"/>
      <sheetName val="참조_영웅그룹리스트"/>
      <sheetName val="참조_기초스탯"/>
      <sheetName val="참조_클래스보정"/>
      <sheetName val="보조 클래스"/>
      <sheetName val="시뮬레이터"/>
      <sheetName val="추가 보정값"/>
      <sheetName val="참고"/>
      <sheetName val="시뮬레이터 계산용"/>
      <sheetName val="Sheet1"/>
      <sheetName val="NQA"/>
      <sheetName val="정책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16">
          <cell r="E16" t="str">
            <v>티어</v>
          </cell>
          <cell r="F16" t="str">
            <v>시작 Num</v>
          </cell>
        </row>
        <row r="17">
          <cell r="E17" t="str">
            <v>S</v>
          </cell>
          <cell r="F17">
            <v>0</v>
          </cell>
        </row>
        <row r="18">
          <cell r="E18" t="str">
            <v>A</v>
          </cell>
          <cell r="F18">
            <v>2</v>
          </cell>
        </row>
        <row r="19">
          <cell r="E19" t="str">
            <v>B</v>
          </cell>
          <cell r="F19">
            <v>5</v>
          </cell>
        </row>
        <row r="20">
          <cell r="E20" t="str">
            <v>C</v>
          </cell>
          <cell r="F20">
            <v>7</v>
          </cell>
        </row>
      </sheetData>
      <sheetData sheetId="10" refreshError="1"/>
      <sheetData sheetId="11" refreshError="1"/>
      <sheetData sheetId="12"/>
      <sheetData sheetId="13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참조"/>
      <sheetName val="보상구조"/>
      <sheetName val="비교"/>
      <sheetName val="모험현황(월단위)_매출분위별(10분위)_1분위_20180"/>
      <sheetName val="모험현황(월단위)_매출분위별(10분위)_10분위_2018"/>
    </sheetNames>
    <sheetDataSet>
      <sheetData sheetId="0" refreshError="1"/>
      <sheetData sheetId="1">
        <row r="7">
          <cell r="C7">
            <v>1000</v>
          </cell>
          <cell r="H7">
            <v>500</v>
          </cell>
        </row>
        <row r="8">
          <cell r="C8">
            <v>2000</v>
          </cell>
          <cell r="H8">
            <v>2500</v>
          </cell>
        </row>
        <row r="9">
          <cell r="C9">
            <v>3000</v>
          </cell>
          <cell r="H9">
            <v>5000</v>
          </cell>
        </row>
        <row r="10">
          <cell r="C10">
            <v>4000</v>
          </cell>
          <cell r="H10">
            <v>25000</v>
          </cell>
        </row>
        <row r="11">
          <cell r="C11">
            <v>5000</v>
          </cell>
        </row>
      </sheetData>
      <sheetData sheetId="2" refreshError="1"/>
      <sheetData sheetId="3">
        <row r="36">
          <cell r="M36">
            <v>20.417085162502506</v>
          </cell>
        </row>
      </sheetData>
      <sheetData sheetId="4" refreshError="1"/>
      <sheetData sheetId="5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pt"/>
      <sheetName val="비교표"/>
      <sheetName val="Data"/>
      <sheetName val="Data_vba"/>
      <sheetName val="등록"/>
      <sheetName val="참조"/>
      <sheetName val="이미지"/>
      <sheetName val="Gacha_GB"/>
      <sheetName val="StringSystem_GB"/>
      <sheetName val="(old)AirshipData_GB"/>
      <sheetName val="Heroes_GB"/>
      <sheetName val="CurrencyData_GB"/>
      <sheetName val="ItemEquipment_GB"/>
      <sheetName val="ItemStackable_GB"/>
      <sheetName val="HeroGrade_GB"/>
    </sheetNames>
    <sheetDataSet>
      <sheetData sheetId="0"/>
      <sheetData sheetId="1"/>
      <sheetData sheetId="2"/>
      <sheetData sheetId="3"/>
      <sheetData sheetId="4"/>
      <sheetData sheetId="5">
        <row r="2">
          <cell r="Z2" t="str">
            <v>월</v>
          </cell>
        </row>
        <row r="3">
          <cell r="Z3" t="str">
            <v>화</v>
          </cell>
        </row>
        <row r="4">
          <cell r="Z4" t="str">
            <v>수</v>
          </cell>
        </row>
        <row r="5">
          <cell r="Z5" t="str">
            <v>목</v>
          </cell>
        </row>
        <row r="6">
          <cell r="Z6" t="str">
            <v>금</v>
          </cell>
        </row>
        <row r="7">
          <cell r="Z7" t="str">
            <v>토</v>
          </cell>
        </row>
        <row r="8">
          <cell r="Z8" t="str">
            <v>일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PCMONSTER"/>
      <sheetName val="REWARD"/>
      <sheetName val="STRINGNPC"/>
      <sheetName val="DropGroup.xlsx"/>
      <sheetName val="RewardGroupField.xlsx"/>
    </sheetNames>
    <sheetDataSet>
      <sheetData sheetId="0" refreshError="1"/>
      <sheetData sheetId="1" refreshError="1"/>
      <sheetData sheetId="2">
        <row r="2">
          <cell r="A2">
            <v>400000</v>
          </cell>
        </row>
        <row r="3">
          <cell r="A3">
            <v>80000000</v>
          </cell>
        </row>
      </sheetData>
      <sheetData sheetId="3" refreshError="1"/>
      <sheetData sheetId="4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Definition"/>
      <sheetName val="#DesignSheet"/>
      <sheetName val="#Reference"/>
      <sheetName val="CraftRecipe"/>
    </sheetNames>
    <sheetDataSet>
      <sheetData sheetId="0" refreshError="1"/>
      <sheetData sheetId="1" refreshError="1"/>
      <sheetData sheetId="2"/>
      <sheetData sheetId="3" refreshError="1"/>
      <sheetData sheetId="4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</sheetNames>
    <sheetDataSet>
      <sheetData sheetId="0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Definition"/>
      <sheetName val="#DesignSheet"/>
      <sheetName val="#Reference"/>
      <sheetName val="CraftRecipe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B111"/>
  <sheetViews>
    <sheetView showGridLines="0" tabSelected="1" zoomScaleNormal="100" workbookViewId="0">
      <selection activeCell="C29" sqref="C29:E29"/>
    </sheetView>
  </sheetViews>
  <sheetFormatPr defaultColWidth="0" defaultRowHeight="0" customHeight="1" zeroHeight="1" x14ac:dyDescent="0.2"/>
  <cols>
    <col min="1" max="2" width="2.28515625" style="2" customWidth="1"/>
    <col min="3" max="3" width="10.7109375" style="2" customWidth="1"/>
    <col min="4" max="4" width="12.7109375" style="2" customWidth="1"/>
    <col min="5" max="11" width="10.7109375" style="2" customWidth="1"/>
    <col min="12" max="12" width="3.85546875" style="58" customWidth="1"/>
    <col min="13" max="16381" width="6.42578125" style="58" hidden="1" customWidth="1"/>
    <col min="16382" max="16382" width="3.7109375" style="58" hidden="1" customWidth="1"/>
    <col min="16383" max="16384" width="0.42578125" style="58" hidden="1" customWidth="1"/>
  </cols>
  <sheetData>
    <row r="1" spans="1:13" ht="16.5" x14ac:dyDescent="0.2"/>
    <row r="2" spans="1:13" ht="16.5" x14ac:dyDescent="0.2"/>
    <row r="3" spans="1:13" ht="12.95" customHeight="1" x14ac:dyDescent="0.2">
      <c r="C3" s="114" t="s">
        <v>34</v>
      </c>
      <c r="D3" s="115"/>
      <c r="E3" s="112" t="s">
        <v>58</v>
      </c>
      <c r="F3" s="116"/>
      <c r="G3" s="117"/>
      <c r="H3" s="122" t="s">
        <v>35</v>
      </c>
      <c r="I3" s="122"/>
      <c r="J3" s="112" t="s">
        <v>36</v>
      </c>
      <c r="K3" s="113"/>
    </row>
    <row r="4" spans="1:13" ht="33.75" customHeight="1" x14ac:dyDescent="0.2">
      <c r="C4" s="114" t="s">
        <v>37</v>
      </c>
      <c r="D4" s="115"/>
      <c r="E4" s="119" t="s">
        <v>57</v>
      </c>
      <c r="F4" s="120"/>
      <c r="G4" s="121"/>
      <c r="H4" s="122" t="s">
        <v>38</v>
      </c>
      <c r="I4" s="122"/>
      <c r="J4" s="112">
        <v>44090</v>
      </c>
      <c r="K4" s="113"/>
    </row>
    <row r="5" spans="1:13" ht="12.95" customHeight="1" x14ac:dyDescent="0.2"/>
    <row r="6" spans="1:13" ht="12" customHeight="1" x14ac:dyDescent="0.2">
      <c r="B6" s="6"/>
      <c r="C6" s="7" t="s">
        <v>33</v>
      </c>
      <c r="D6" s="6"/>
      <c r="E6" s="6"/>
      <c r="F6" s="6"/>
      <c r="G6" s="6"/>
      <c r="H6" s="6"/>
      <c r="I6" s="6"/>
      <c r="J6" s="6"/>
      <c r="K6" s="6"/>
    </row>
    <row r="7" spans="1:13" ht="12.95" customHeight="1" x14ac:dyDescent="0.2"/>
    <row r="8" spans="1:13" s="5" customFormat="1" ht="12.95" customHeight="1" x14ac:dyDescent="0.2">
      <c r="A8" s="2"/>
      <c r="B8" s="2"/>
      <c r="C8" s="60" t="s">
        <v>39</v>
      </c>
      <c r="D8" s="61"/>
      <c r="E8" s="61"/>
      <c r="F8" s="62"/>
      <c r="G8" s="8"/>
      <c r="H8" s="8"/>
      <c r="I8" s="8"/>
      <c r="J8" s="8"/>
      <c r="K8" s="9"/>
      <c r="L8" s="10"/>
      <c r="M8" s="4"/>
    </row>
    <row r="9" spans="1:13" s="5" customFormat="1" ht="12.95" customHeight="1" x14ac:dyDescent="0.2">
      <c r="A9" s="2"/>
      <c r="B9" s="2"/>
      <c r="C9" s="63" t="s">
        <v>40</v>
      </c>
      <c r="D9" s="59"/>
      <c r="E9" s="59"/>
      <c r="F9" s="59"/>
      <c r="G9" s="13"/>
      <c r="H9" s="12"/>
      <c r="I9" s="11"/>
      <c r="J9" s="11"/>
      <c r="K9" s="14"/>
      <c r="L9" s="10"/>
      <c r="M9" s="4"/>
    </row>
    <row r="10" spans="1:13" s="5" customFormat="1" ht="12.95" customHeight="1" x14ac:dyDescent="0.2">
      <c r="A10" s="2"/>
      <c r="B10" s="2"/>
      <c r="C10" s="63" t="s">
        <v>56</v>
      </c>
      <c r="D10" s="59"/>
      <c r="E10" s="59"/>
      <c r="F10" s="59"/>
      <c r="G10" s="13"/>
      <c r="H10" s="12"/>
      <c r="I10" s="11"/>
      <c r="J10" s="11"/>
      <c r="K10" s="14"/>
      <c r="L10" s="10"/>
      <c r="M10" s="4"/>
    </row>
    <row r="11" spans="1:13" s="5" customFormat="1" ht="12.95" customHeight="1" x14ac:dyDescent="0.2">
      <c r="A11" s="2"/>
      <c r="B11" s="2"/>
      <c r="C11" s="63" t="s">
        <v>41</v>
      </c>
      <c r="D11" s="59"/>
      <c r="E11" s="59"/>
      <c r="F11" s="59"/>
      <c r="G11" s="13"/>
      <c r="H11" s="12"/>
      <c r="I11" s="11"/>
      <c r="J11" s="11"/>
      <c r="K11" s="14"/>
      <c r="L11" s="10"/>
      <c r="M11" s="4"/>
    </row>
    <row r="12" spans="1:13" s="5" customFormat="1" ht="12.95" customHeight="1" x14ac:dyDescent="0.2">
      <c r="A12" s="2"/>
      <c r="B12" s="2"/>
      <c r="C12" s="15"/>
      <c r="D12" s="16"/>
      <c r="E12" s="16"/>
      <c r="F12" s="17"/>
      <c r="G12" s="18"/>
      <c r="H12" s="17"/>
      <c r="I12" s="16"/>
      <c r="J12" s="16"/>
      <c r="K12" s="19"/>
      <c r="L12" s="10"/>
      <c r="M12" s="4"/>
    </row>
    <row r="13" spans="1:13" ht="12.95" customHeight="1" x14ac:dyDescent="0.2">
      <c r="C13" s="118"/>
      <c r="D13" s="118"/>
      <c r="E13" s="118"/>
      <c r="F13" s="118"/>
      <c r="G13" s="118"/>
      <c r="H13" s="118"/>
      <c r="I13" s="118"/>
      <c r="J13" s="118"/>
      <c r="K13" s="118"/>
    </row>
    <row r="14" spans="1:13" ht="12.95" customHeight="1" x14ac:dyDescent="0.2">
      <c r="B14" s="6"/>
      <c r="C14" s="7" t="s">
        <v>32</v>
      </c>
      <c r="D14" s="6"/>
      <c r="E14" s="6"/>
      <c r="F14" s="6"/>
      <c r="G14" s="7" t="s">
        <v>31</v>
      </c>
      <c r="H14" s="6"/>
      <c r="I14" s="6"/>
      <c r="J14" s="7" t="s">
        <v>30</v>
      </c>
      <c r="K14" s="6"/>
    </row>
    <row r="15" spans="1:13" ht="12.95" customHeight="1" x14ac:dyDescent="0.2">
      <c r="F15" s="3"/>
    </row>
    <row r="16" spans="1:13" ht="12.95" customHeight="1" x14ac:dyDescent="0.2">
      <c r="C16" s="123" t="s">
        <v>5</v>
      </c>
      <c r="D16" s="20"/>
      <c r="E16" s="21">
        <f>IFERROR(SUM(H16,K16),"")</f>
        <v>0</v>
      </c>
      <c r="F16" s="111"/>
      <c r="G16" s="22" t="s">
        <v>12</v>
      </c>
      <c r="H16" s="21" t="str">
        <f>IFERROR(어쌔신!D4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,"")</f>
        <v/>
      </c>
      <c r="I16" s="23"/>
      <c r="J16" s="24" t="s">
        <v>22</v>
      </c>
      <c r="K16" s="21" t="str">
        <f>IFERROR(어쌔신!E4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,"")</f>
        <v/>
      </c>
      <c r="L16" s="25"/>
    </row>
    <row r="17" spans="2:12" ht="12.95" customHeight="1" x14ac:dyDescent="0.2">
      <c r="C17" s="124"/>
      <c r="D17" s="26" t="s">
        <v>29</v>
      </c>
      <c r="E17" s="27">
        <f>IFERROR(SUM(H17,K17),"")</f>
        <v>0</v>
      </c>
      <c r="F17" s="111"/>
      <c r="G17" s="26" t="s">
        <v>20</v>
      </c>
      <c r="H17" s="27" t="str">
        <f>IFERROR(어쌔신!D5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,"")</f>
        <v/>
      </c>
      <c r="I17" s="23"/>
      <c r="J17" s="26" t="s">
        <v>0</v>
      </c>
      <c r="K17" s="27" t="str">
        <f>IFERROR(어쌔신!E5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,"")</f>
        <v/>
      </c>
      <c r="L17" s="25"/>
    </row>
    <row r="18" spans="2:12" ht="12.95" customHeight="1" x14ac:dyDescent="0.2">
      <c r="C18" s="124"/>
      <c r="D18" s="28" t="s">
        <v>4</v>
      </c>
      <c r="E18" s="29">
        <f>IFERROR(SUM(H18,K18),"")</f>
        <v>0</v>
      </c>
      <c r="F18" s="111"/>
      <c r="G18" s="28" t="s">
        <v>28</v>
      </c>
      <c r="H18" s="29" t="str">
        <f>IFERROR(어쌔신!D6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,"")</f>
        <v/>
      </c>
      <c r="I18" s="23"/>
      <c r="J18" s="28" t="s">
        <v>28</v>
      </c>
      <c r="K18" s="29" t="str">
        <f>IFERROR(어쌔신!E6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,"")</f>
        <v/>
      </c>
      <c r="L18" s="25"/>
    </row>
    <row r="19" spans="2:12" ht="12.95" customHeight="1" x14ac:dyDescent="0.2">
      <c r="C19" s="124"/>
      <c r="D19" s="30" t="s">
        <v>7</v>
      </c>
      <c r="E19" s="31">
        <f>IFERROR(SUM(H19,K19),"")</f>
        <v>0</v>
      </c>
      <c r="F19" s="111"/>
      <c r="G19" s="30" t="s">
        <v>27</v>
      </c>
      <c r="H19" s="31" t="str">
        <f>IFERROR(어쌔신!D7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,"")</f>
        <v/>
      </c>
      <c r="I19" s="23"/>
      <c r="J19" s="30" t="s">
        <v>18</v>
      </c>
      <c r="K19" s="31" t="str">
        <f>IFERROR(어쌔신!E7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,"")</f>
        <v/>
      </c>
      <c r="L19" s="25"/>
    </row>
    <row r="20" spans="2:12" ht="12.95" customHeight="1" thickBot="1" x14ac:dyDescent="0.25">
      <c r="C20" s="125"/>
      <c r="D20" s="32" t="s">
        <v>26</v>
      </c>
      <c r="E20" s="33">
        <f>IFERROR(SUM(H20,K20),"")</f>
        <v>0</v>
      </c>
      <c r="F20" s="34"/>
      <c r="G20" s="32" t="s">
        <v>26</v>
      </c>
      <c r="H20" s="33" t="str">
        <f>IFERROR(어쌔신!D8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,"")</f>
        <v/>
      </c>
      <c r="I20" s="35"/>
      <c r="J20" s="32" t="s">
        <v>26</v>
      </c>
      <c r="K20" s="33" t="str">
        <f>IFERROR(어쌔신!E8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,"")</f>
        <v/>
      </c>
      <c r="L20" s="25"/>
    </row>
    <row r="21" spans="2:12" ht="12.95" customHeight="1" thickTop="1" x14ac:dyDescent="0.2">
      <c r="C21" s="110" t="s">
        <v>21</v>
      </c>
      <c r="D21" s="110"/>
      <c r="E21" s="36">
        <f>IFERROR((E17+E18)/E16,0)</f>
        <v>0</v>
      </c>
      <c r="F21" s="34"/>
      <c r="G21" s="37" t="s">
        <v>25</v>
      </c>
      <c r="H21" s="38">
        <f>IFERROR((H17+H18)/H16,0)</f>
        <v>0</v>
      </c>
      <c r="I21" s="23"/>
      <c r="J21" s="39" t="s">
        <v>21</v>
      </c>
      <c r="K21" s="36">
        <f>IFERROR((K17+K18)/K16,0)</f>
        <v>0</v>
      </c>
      <c r="L21" s="25"/>
    </row>
    <row r="22" spans="2:12" ht="12.95" customHeight="1" x14ac:dyDescent="0.2"/>
    <row r="23" spans="2:12" ht="12.95" customHeight="1" x14ac:dyDescent="0.2">
      <c r="B23" s="6"/>
      <c r="C23" s="7" t="s">
        <v>24</v>
      </c>
      <c r="D23" s="6"/>
      <c r="E23" s="6"/>
      <c r="F23" s="6"/>
      <c r="G23" s="6"/>
      <c r="H23" s="6"/>
      <c r="I23" s="6"/>
      <c r="J23" s="6"/>
      <c r="K23" s="6"/>
    </row>
    <row r="24" spans="2:12" ht="12.95" customHeight="1" x14ac:dyDescent="0.2"/>
    <row r="25" spans="2:12" ht="12.75" customHeight="1" thickBot="1" x14ac:dyDescent="0.25">
      <c r="C25" s="107" t="s">
        <v>23</v>
      </c>
      <c r="D25" s="108"/>
      <c r="E25" s="109"/>
      <c r="F25" s="40" t="s">
        <v>22</v>
      </c>
      <c r="G25" s="52" t="s">
        <v>21</v>
      </c>
      <c r="H25" s="41" t="s">
        <v>20</v>
      </c>
      <c r="I25" s="42" t="s">
        <v>19</v>
      </c>
      <c r="J25" s="43" t="s">
        <v>18</v>
      </c>
      <c r="K25" s="1" t="s">
        <v>17</v>
      </c>
    </row>
    <row r="26" spans="2:12" ht="12.75" customHeight="1" thickTop="1" x14ac:dyDescent="0.2">
      <c r="C26" s="104" t="s">
        <v>63</v>
      </c>
      <c r="D26" s="105"/>
      <c r="E26" s="106"/>
      <c r="F26" s="44">
        <f>IFERROR(어쌔신!$C$4,"")</f>
        <v>28</v>
      </c>
      <c r="G26" s="45">
        <f t="shared" ref="G26:G57" si="0">IFERROR((H26+I26)/F26,"")</f>
        <v>1</v>
      </c>
      <c r="H26" s="46">
        <f>IFERROR(어쌔신!$C$5,"")</f>
        <v>27</v>
      </c>
      <c r="I26" s="47">
        <f>IFERROR(어쌔신!$C$6,"")</f>
        <v>1</v>
      </c>
      <c r="J26" s="48">
        <f>IFERROR(어쌔신!$C$7,"")</f>
        <v>0</v>
      </c>
      <c r="K26" s="49">
        <f>IFERROR(어쌔신!$C$8,"")</f>
        <v>0</v>
      </c>
    </row>
    <row r="27" spans="2:12" ht="12.75" customHeight="1" x14ac:dyDescent="0.2">
      <c r="C27" s="104" t="s">
        <v>140</v>
      </c>
      <c r="D27" s="105"/>
      <c r="E27" s="106"/>
      <c r="F27" s="44" t="str">
        <f>IFERROR(#REF!,"")</f>
        <v/>
      </c>
      <c r="G27" s="45" t="str">
        <f t="shared" si="0"/>
        <v/>
      </c>
      <c r="H27" s="46" t="str">
        <f>IFERROR(#REF!,"")</f>
        <v/>
      </c>
      <c r="I27" s="47" t="str">
        <f>IFERROR(#REF!,"")</f>
        <v/>
      </c>
      <c r="J27" s="48" t="str">
        <f>IFERROR(#REF!,"")</f>
        <v/>
      </c>
      <c r="K27" s="49" t="str">
        <f>IFERROR(#REF!,"")</f>
        <v/>
      </c>
    </row>
    <row r="28" spans="2:12" ht="12.75" customHeight="1" x14ac:dyDescent="0.2">
      <c r="C28" s="104" t="s">
        <v>64</v>
      </c>
      <c r="D28" s="105"/>
      <c r="E28" s="106"/>
      <c r="F28" s="44" t="str">
        <f>IFERROR(#REF!,"")</f>
        <v/>
      </c>
      <c r="G28" s="45" t="str">
        <f t="shared" si="0"/>
        <v/>
      </c>
      <c r="H28" s="46" t="str">
        <f>IFERROR(#REF!,"")</f>
        <v/>
      </c>
      <c r="I28" s="47" t="str">
        <f>IFERROR(#REF!,"")</f>
        <v/>
      </c>
      <c r="J28" s="48" t="str">
        <f>IFERROR(#REF!,"")</f>
        <v/>
      </c>
      <c r="K28" s="49" t="str">
        <f>IFERROR(#REF!,"")</f>
        <v/>
      </c>
    </row>
    <row r="29" spans="2:12" ht="12.75" customHeight="1" x14ac:dyDescent="0.2">
      <c r="C29" s="104" t="s">
        <v>141</v>
      </c>
      <c r="D29" s="105"/>
      <c r="E29" s="106"/>
      <c r="F29" s="44" t="str">
        <f>IFERROR(#REF!,"")</f>
        <v/>
      </c>
      <c r="G29" s="45" t="str">
        <f t="shared" si="0"/>
        <v/>
      </c>
      <c r="H29" s="46" t="str">
        <f>IFERROR(#REF!,"")</f>
        <v/>
      </c>
      <c r="I29" s="47" t="str">
        <f>IFERROR(#REF!,"")</f>
        <v/>
      </c>
      <c r="J29" s="48" t="str">
        <f>IFERROR(#REF!,"")</f>
        <v/>
      </c>
      <c r="K29" s="49" t="str">
        <f>IFERROR(#REF!,"")</f>
        <v/>
      </c>
    </row>
    <row r="30" spans="2:12" ht="12.75" customHeight="1" x14ac:dyDescent="0.2">
      <c r="C30" s="104" t="s">
        <v>142</v>
      </c>
      <c r="D30" s="105"/>
      <c r="E30" s="106"/>
      <c r="F30" s="44" t="str">
        <f>IFERROR(#REF!,"")</f>
        <v/>
      </c>
      <c r="G30" s="45" t="str">
        <f t="shared" si="0"/>
        <v/>
      </c>
      <c r="H30" s="46" t="str">
        <f>IFERROR(#REF!,"")</f>
        <v/>
      </c>
      <c r="I30" s="47" t="str">
        <f>IFERROR(#REF!,"")</f>
        <v/>
      </c>
      <c r="J30" s="48" t="str">
        <f>IFERROR(#REF!,"")</f>
        <v/>
      </c>
      <c r="K30" s="49" t="str">
        <f>IFERROR(#REF!,"")</f>
        <v/>
      </c>
    </row>
    <row r="31" spans="2:12" ht="12.75" customHeight="1" x14ac:dyDescent="0.2">
      <c r="C31" s="104" t="s">
        <v>143</v>
      </c>
      <c r="D31" s="105"/>
      <c r="E31" s="106"/>
      <c r="F31" s="44" t="str">
        <f>IFERROR(#REF!,"")</f>
        <v/>
      </c>
      <c r="G31" s="45" t="str">
        <f t="shared" si="0"/>
        <v/>
      </c>
      <c r="H31" s="46" t="str">
        <f>IFERROR(#REF!,"")</f>
        <v/>
      </c>
      <c r="I31" s="47" t="str">
        <f>IFERROR(#REF!,"")</f>
        <v/>
      </c>
      <c r="J31" s="48" t="str">
        <f>IFERROR(#REF!,"")</f>
        <v/>
      </c>
      <c r="K31" s="49" t="str">
        <f>IFERROR(#REF!,"")</f>
        <v/>
      </c>
    </row>
    <row r="32" spans="2:12" ht="12.75" customHeight="1" x14ac:dyDescent="0.2">
      <c r="C32" s="104" t="s">
        <v>65</v>
      </c>
      <c r="D32" s="105"/>
      <c r="E32" s="106"/>
      <c r="F32" s="44" t="str">
        <f>IFERROR(#REF!,"")</f>
        <v/>
      </c>
      <c r="G32" s="45" t="str">
        <f t="shared" si="0"/>
        <v/>
      </c>
      <c r="H32" s="46" t="str">
        <f>IFERROR(#REF!,"")</f>
        <v/>
      </c>
      <c r="I32" s="47" t="str">
        <f>IFERROR(#REF!,"")</f>
        <v/>
      </c>
      <c r="J32" s="48" t="str">
        <f>IFERROR(#REF!,"")</f>
        <v/>
      </c>
      <c r="K32" s="49" t="str">
        <f>IFERROR(#REF!,"")</f>
        <v/>
      </c>
    </row>
    <row r="33" spans="3:11" ht="12.75" customHeight="1" x14ac:dyDescent="0.2">
      <c r="C33" s="104" t="s">
        <v>144</v>
      </c>
      <c r="D33" s="105"/>
      <c r="E33" s="106"/>
      <c r="F33" s="44" t="str">
        <f>IFERROR(#REF!,"")</f>
        <v/>
      </c>
      <c r="G33" s="45" t="str">
        <f t="shared" si="0"/>
        <v/>
      </c>
      <c r="H33" s="46" t="str">
        <f>IFERROR(#REF!,"")</f>
        <v/>
      </c>
      <c r="I33" s="47" t="str">
        <f>IFERROR(#REF!,"")</f>
        <v/>
      </c>
      <c r="J33" s="48" t="str">
        <f>IFERROR(#REF!,"")</f>
        <v/>
      </c>
      <c r="K33" s="49" t="str">
        <f>IFERROR(#REF!,"")</f>
        <v/>
      </c>
    </row>
    <row r="34" spans="3:11" ht="12.75" customHeight="1" x14ac:dyDescent="0.2">
      <c r="C34" s="104" t="s">
        <v>66</v>
      </c>
      <c r="D34" s="105"/>
      <c r="E34" s="106"/>
      <c r="F34" s="44" t="str">
        <f>IFERROR(#REF!,"")</f>
        <v/>
      </c>
      <c r="G34" s="45" t="str">
        <f t="shared" si="0"/>
        <v/>
      </c>
      <c r="H34" s="46" t="str">
        <f>IFERROR(#REF!,"")</f>
        <v/>
      </c>
      <c r="I34" s="47" t="str">
        <f>IFERROR(#REF!,"")</f>
        <v/>
      </c>
      <c r="J34" s="48" t="str">
        <f>IFERROR(#REF!,"")</f>
        <v/>
      </c>
      <c r="K34" s="49" t="str">
        <f>IFERROR(#REF!,"")</f>
        <v/>
      </c>
    </row>
    <row r="35" spans="3:11" ht="12.75" customHeight="1" x14ac:dyDescent="0.2">
      <c r="C35" s="104" t="s">
        <v>183</v>
      </c>
      <c r="D35" s="105"/>
      <c r="E35" s="106"/>
      <c r="F35" s="44" t="str">
        <f>IFERROR(#REF!,"")</f>
        <v/>
      </c>
      <c r="G35" s="45" t="str">
        <f t="shared" si="0"/>
        <v/>
      </c>
      <c r="H35" s="46" t="str">
        <f>IFERROR(#REF!,"")</f>
        <v/>
      </c>
      <c r="I35" s="47" t="str">
        <f>IFERROR(#REF!,"")</f>
        <v/>
      </c>
      <c r="J35" s="48" t="str">
        <f>IFERROR(#REF!,"")</f>
        <v/>
      </c>
      <c r="K35" s="49" t="str">
        <f>IFERROR(#REF!,"")</f>
        <v/>
      </c>
    </row>
    <row r="36" spans="3:11" ht="12.75" customHeight="1" x14ac:dyDescent="0.2">
      <c r="C36" s="104" t="s">
        <v>145</v>
      </c>
      <c r="D36" s="105"/>
      <c r="E36" s="106"/>
      <c r="F36" s="44" t="str">
        <f>IFERROR(#REF!,"")</f>
        <v/>
      </c>
      <c r="G36" s="45" t="str">
        <f t="shared" si="0"/>
        <v/>
      </c>
      <c r="H36" s="46" t="str">
        <f>IFERROR(#REF!,"")</f>
        <v/>
      </c>
      <c r="I36" s="47" t="str">
        <f>IFERROR(#REF!,"")</f>
        <v/>
      </c>
      <c r="J36" s="48" t="str">
        <f>IFERROR(#REF!,"")</f>
        <v/>
      </c>
      <c r="K36" s="49" t="str">
        <f>IFERROR(#REF!,"")</f>
        <v/>
      </c>
    </row>
    <row r="37" spans="3:11" ht="12.75" customHeight="1" x14ac:dyDescent="0.2">
      <c r="C37" s="104" t="s">
        <v>146</v>
      </c>
      <c r="D37" s="105"/>
      <c r="E37" s="106"/>
      <c r="F37" s="44" t="str">
        <f>IFERROR(#REF!,"")</f>
        <v/>
      </c>
      <c r="G37" s="45" t="str">
        <f t="shared" si="0"/>
        <v/>
      </c>
      <c r="H37" s="46" t="str">
        <f>IFERROR(#REF!,"")</f>
        <v/>
      </c>
      <c r="I37" s="47" t="str">
        <f>IFERROR(#REF!,"")</f>
        <v/>
      </c>
      <c r="J37" s="48" t="str">
        <f>IFERROR(#REF!,"")</f>
        <v/>
      </c>
      <c r="K37" s="49" t="str">
        <f>IFERROR(#REF!,"")</f>
        <v/>
      </c>
    </row>
    <row r="38" spans="3:11" ht="12.75" customHeight="1" x14ac:dyDescent="0.2">
      <c r="C38" s="104" t="s">
        <v>147</v>
      </c>
      <c r="D38" s="105"/>
      <c r="E38" s="106"/>
      <c r="F38" s="44" t="str">
        <f>IFERROR(#REF!,"")</f>
        <v/>
      </c>
      <c r="G38" s="45" t="str">
        <f t="shared" si="0"/>
        <v/>
      </c>
      <c r="H38" s="46" t="str">
        <f>IFERROR(#REF!,"")</f>
        <v/>
      </c>
      <c r="I38" s="47" t="str">
        <f>IFERROR(#REF!,"")</f>
        <v/>
      </c>
      <c r="J38" s="48" t="str">
        <f>IFERROR(#REF!,"")</f>
        <v/>
      </c>
      <c r="K38" s="49" t="str">
        <f>IFERROR(#REF!,"")</f>
        <v/>
      </c>
    </row>
    <row r="39" spans="3:11" ht="12.75" customHeight="1" x14ac:dyDescent="0.2">
      <c r="C39" s="104" t="s">
        <v>87</v>
      </c>
      <c r="D39" s="105"/>
      <c r="E39" s="106"/>
      <c r="F39" s="44" t="str">
        <f>IFERROR(#REF!,"")</f>
        <v/>
      </c>
      <c r="G39" s="45" t="str">
        <f t="shared" si="0"/>
        <v/>
      </c>
      <c r="H39" s="46" t="str">
        <f>IFERROR(#REF!,"")</f>
        <v/>
      </c>
      <c r="I39" s="47" t="str">
        <f>IFERROR(#REF!,"")</f>
        <v/>
      </c>
      <c r="J39" s="48" t="str">
        <f>IFERROR(#REF!,"")</f>
        <v/>
      </c>
      <c r="K39" s="49" t="str">
        <f>IFERROR(#REF!,"")</f>
        <v/>
      </c>
    </row>
    <row r="40" spans="3:11" ht="12.75" customHeight="1" x14ac:dyDescent="0.2">
      <c r="C40" s="104" t="s">
        <v>91</v>
      </c>
      <c r="D40" s="105"/>
      <c r="E40" s="106"/>
      <c r="F40" s="44" t="str">
        <f>IFERROR(#REF!,"")</f>
        <v/>
      </c>
      <c r="G40" s="45" t="str">
        <f t="shared" si="0"/>
        <v/>
      </c>
      <c r="H40" s="46" t="str">
        <f>IFERROR(#REF!,"")</f>
        <v/>
      </c>
      <c r="I40" s="47" t="str">
        <f>IFERROR(#REF!,"")</f>
        <v/>
      </c>
      <c r="J40" s="48" t="str">
        <f>IFERROR(#REF!,"")</f>
        <v/>
      </c>
      <c r="K40" s="49" t="str">
        <f>IFERROR(#REF!,"")</f>
        <v/>
      </c>
    </row>
    <row r="41" spans="3:11" ht="12.75" customHeight="1" x14ac:dyDescent="0.2">
      <c r="C41" s="104" t="s">
        <v>148</v>
      </c>
      <c r="D41" s="105"/>
      <c r="E41" s="106"/>
      <c r="F41" s="44" t="str">
        <f>IFERROR(#REF!,"")</f>
        <v/>
      </c>
      <c r="G41" s="45" t="str">
        <f t="shared" si="0"/>
        <v/>
      </c>
      <c r="H41" s="46" t="str">
        <f>IFERROR(#REF!,"")</f>
        <v/>
      </c>
      <c r="I41" s="47" t="str">
        <f>IFERROR(#REF!,"")</f>
        <v/>
      </c>
      <c r="J41" s="48" t="str">
        <f>IFERROR(#REF!,"")</f>
        <v/>
      </c>
      <c r="K41" s="49" t="str">
        <f>IFERROR(#REF!,"")</f>
        <v/>
      </c>
    </row>
    <row r="42" spans="3:11" ht="12.75" customHeight="1" x14ac:dyDescent="0.2">
      <c r="C42" s="104" t="s">
        <v>149</v>
      </c>
      <c r="D42" s="105"/>
      <c r="E42" s="106"/>
      <c r="F42" s="44" t="str">
        <f>IFERROR(#REF!,"")</f>
        <v/>
      </c>
      <c r="G42" s="45" t="str">
        <f t="shared" si="0"/>
        <v/>
      </c>
      <c r="H42" s="46" t="str">
        <f>IFERROR(#REF!,"")</f>
        <v/>
      </c>
      <c r="I42" s="47" t="str">
        <f>IFERROR(#REF!,"")</f>
        <v/>
      </c>
      <c r="J42" s="48" t="str">
        <f>IFERROR(#REF!,"")</f>
        <v/>
      </c>
      <c r="K42" s="49" t="str">
        <f>IFERROR(#REF!,"")</f>
        <v/>
      </c>
    </row>
    <row r="43" spans="3:11" ht="12.75" customHeight="1" x14ac:dyDescent="0.2">
      <c r="C43" s="104" t="s">
        <v>150</v>
      </c>
      <c r="D43" s="105"/>
      <c r="E43" s="106"/>
      <c r="F43" s="44" t="str">
        <f>IFERROR(#REF!,"")</f>
        <v/>
      </c>
      <c r="G43" s="45" t="str">
        <f t="shared" si="0"/>
        <v/>
      </c>
      <c r="H43" s="46" t="str">
        <f>IFERROR(#REF!,"")</f>
        <v/>
      </c>
      <c r="I43" s="47" t="str">
        <f>IFERROR(#REF!,"")</f>
        <v/>
      </c>
      <c r="J43" s="48" t="str">
        <f>IFERROR(#REF!,"")</f>
        <v/>
      </c>
      <c r="K43" s="49" t="str">
        <f>IFERROR(#REF!,"")</f>
        <v/>
      </c>
    </row>
    <row r="44" spans="3:11" ht="12.75" customHeight="1" x14ac:dyDescent="0.2">
      <c r="C44" s="104" t="s">
        <v>68</v>
      </c>
      <c r="D44" s="105"/>
      <c r="E44" s="106"/>
      <c r="F44" s="44" t="str">
        <f>IFERROR(#REF!,"")</f>
        <v/>
      </c>
      <c r="G44" s="45" t="str">
        <f t="shared" si="0"/>
        <v/>
      </c>
      <c r="H44" s="46" t="str">
        <f>IFERROR(#REF!,"")</f>
        <v/>
      </c>
      <c r="I44" s="47" t="str">
        <f>IFERROR(#REF!,"")</f>
        <v/>
      </c>
      <c r="J44" s="48" t="str">
        <f>IFERROR(#REF!,"")</f>
        <v/>
      </c>
      <c r="K44" s="49" t="str">
        <f>IFERROR(#REF!,"")</f>
        <v/>
      </c>
    </row>
    <row r="45" spans="3:11" ht="12.75" customHeight="1" x14ac:dyDescent="0.2">
      <c r="C45" s="104" t="s">
        <v>83</v>
      </c>
      <c r="D45" s="105"/>
      <c r="E45" s="106"/>
      <c r="F45" s="44" t="str">
        <f>IFERROR(#REF!,"")</f>
        <v/>
      </c>
      <c r="G45" s="45" t="str">
        <f t="shared" si="0"/>
        <v/>
      </c>
      <c r="H45" s="46" t="str">
        <f>IFERROR(#REF!,"")</f>
        <v/>
      </c>
      <c r="I45" s="47" t="str">
        <f>IFERROR(#REF!,"")</f>
        <v/>
      </c>
      <c r="J45" s="48" t="str">
        <f>IFERROR(#REF!,"")</f>
        <v/>
      </c>
      <c r="K45" s="49" t="str">
        <f>IFERROR(#REF!,"")</f>
        <v/>
      </c>
    </row>
    <row r="46" spans="3:11" ht="12.75" customHeight="1" x14ac:dyDescent="0.2">
      <c r="C46" s="104" t="s">
        <v>84</v>
      </c>
      <c r="D46" s="105"/>
      <c r="E46" s="106"/>
      <c r="F46" s="44" t="str">
        <f>IFERROR(#REF!,"")</f>
        <v/>
      </c>
      <c r="G46" s="45" t="str">
        <f t="shared" si="0"/>
        <v/>
      </c>
      <c r="H46" s="46" t="str">
        <f>IFERROR(#REF!,"")</f>
        <v/>
      </c>
      <c r="I46" s="47" t="str">
        <f>IFERROR(#REF!,"")</f>
        <v/>
      </c>
      <c r="J46" s="48" t="str">
        <f>IFERROR(#REF!,"")</f>
        <v/>
      </c>
      <c r="K46" s="49" t="str">
        <f>IFERROR(#REF!,"")</f>
        <v/>
      </c>
    </row>
    <row r="47" spans="3:11" ht="12.75" customHeight="1" x14ac:dyDescent="0.2">
      <c r="C47" s="104" t="s">
        <v>85</v>
      </c>
      <c r="D47" s="105"/>
      <c r="E47" s="106"/>
      <c r="F47" s="44" t="str">
        <f>IFERROR(#REF!,"")</f>
        <v/>
      </c>
      <c r="G47" s="45" t="str">
        <f t="shared" si="0"/>
        <v/>
      </c>
      <c r="H47" s="46" t="str">
        <f>IFERROR(#REF!,"")</f>
        <v/>
      </c>
      <c r="I47" s="47" t="str">
        <f>IFERROR(#REF!,"")</f>
        <v/>
      </c>
      <c r="J47" s="48" t="str">
        <f>IFERROR(#REF!,"")</f>
        <v/>
      </c>
      <c r="K47" s="49" t="str">
        <f>IFERROR(#REF!,"")</f>
        <v/>
      </c>
    </row>
    <row r="48" spans="3:11" ht="12.75" customHeight="1" x14ac:dyDescent="0.2">
      <c r="C48" s="104" t="s">
        <v>86</v>
      </c>
      <c r="D48" s="105"/>
      <c r="E48" s="106"/>
      <c r="F48" s="44" t="str">
        <f>IFERROR(#REF!,"")</f>
        <v/>
      </c>
      <c r="G48" s="45" t="str">
        <f t="shared" si="0"/>
        <v/>
      </c>
      <c r="H48" s="46" t="str">
        <f>IFERROR(#REF!,"")</f>
        <v/>
      </c>
      <c r="I48" s="47" t="str">
        <f>IFERROR(#REF!,"")</f>
        <v/>
      </c>
      <c r="J48" s="48" t="str">
        <f>IFERROR(#REF!,"")</f>
        <v/>
      </c>
      <c r="K48" s="49" t="str">
        <f>IFERROR(#REF!,"")</f>
        <v/>
      </c>
    </row>
    <row r="49" spans="3:11" ht="12.75" customHeight="1" x14ac:dyDescent="0.2">
      <c r="C49" s="104" t="s">
        <v>88</v>
      </c>
      <c r="D49" s="105"/>
      <c r="E49" s="106"/>
      <c r="F49" s="44" t="str">
        <f>IFERROR(#REF!,"")</f>
        <v/>
      </c>
      <c r="G49" s="45" t="str">
        <f t="shared" si="0"/>
        <v/>
      </c>
      <c r="H49" s="46" t="str">
        <f>IFERROR(#REF!,"")</f>
        <v/>
      </c>
      <c r="I49" s="47" t="str">
        <f>IFERROR(#REF!,"")</f>
        <v/>
      </c>
      <c r="J49" s="48" t="str">
        <f>IFERROR(#REF!,"")</f>
        <v/>
      </c>
      <c r="K49" s="49" t="str">
        <f>IFERROR(#REF!,"")</f>
        <v/>
      </c>
    </row>
    <row r="50" spans="3:11" ht="12.75" customHeight="1" x14ac:dyDescent="0.2">
      <c r="C50" s="104" t="s">
        <v>89</v>
      </c>
      <c r="D50" s="105"/>
      <c r="E50" s="106"/>
      <c r="F50" s="44" t="str">
        <f>IFERROR(#REF!,"")</f>
        <v/>
      </c>
      <c r="G50" s="45" t="str">
        <f t="shared" si="0"/>
        <v/>
      </c>
      <c r="H50" s="46" t="str">
        <f>IFERROR(#REF!,"")</f>
        <v/>
      </c>
      <c r="I50" s="47" t="str">
        <f>IFERROR(#REF!,"")</f>
        <v/>
      </c>
      <c r="J50" s="48" t="str">
        <f>IFERROR(#REF!,"")</f>
        <v/>
      </c>
      <c r="K50" s="49" t="str">
        <f>IFERROR(#REF!,"")</f>
        <v/>
      </c>
    </row>
    <row r="51" spans="3:11" ht="12.75" customHeight="1" x14ac:dyDescent="0.2">
      <c r="C51" s="104" t="s">
        <v>67</v>
      </c>
      <c r="D51" s="105"/>
      <c r="E51" s="106"/>
      <c r="F51" s="44" t="str">
        <f>IFERROR(#REF!,"")</f>
        <v/>
      </c>
      <c r="G51" s="45" t="str">
        <f t="shared" si="0"/>
        <v/>
      </c>
      <c r="H51" s="46" t="str">
        <f>IFERROR(#REF!,"")</f>
        <v/>
      </c>
      <c r="I51" s="47" t="str">
        <f>IFERROR(#REF!,"")</f>
        <v/>
      </c>
      <c r="J51" s="48" t="str">
        <f>IFERROR(#REF!,"")</f>
        <v/>
      </c>
      <c r="K51" s="49" t="str">
        <f>IFERROR(#REF!,"")</f>
        <v/>
      </c>
    </row>
    <row r="52" spans="3:11" ht="12.75" customHeight="1" x14ac:dyDescent="0.2">
      <c r="C52" s="104" t="s">
        <v>181</v>
      </c>
      <c r="D52" s="105"/>
      <c r="E52" s="106"/>
      <c r="F52" s="44" t="str">
        <f>IFERROR(#REF!,"")</f>
        <v/>
      </c>
      <c r="G52" s="45" t="str">
        <f t="shared" si="0"/>
        <v/>
      </c>
      <c r="H52" s="46" t="str">
        <f>IFERROR(#REF!,"")</f>
        <v/>
      </c>
      <c r="I52" s="47" t="str">
        <f>IFERROR(#REF!,"")</f>
        <v/>
      </c>
      <c r="J52" s="48" t="str">
        <f>IFERROR(#REF!,"")</f>
        <v/>
      </c>
      <c r="K52" s="49" t="str">
        <f>IFERROR(#REF!,"")</f>
        <v/>
      </c>
    </row>
    <row r="53" spans="3:11" ht="12.75" customHeight="1" x14ac:dyDescent="0.2">
      <c r="C53" s="104" t="s">
        <v>69</v>
      </c>
      <c r="D53" s="105"/>
      <c r="E53" s="106"/>
      <c r="F53" s="44" t="str">
        <f>IFERROR(#REF!,"")</f>
        <v/>
      </c>
      <c r="G53" s="45" t="str">
        <f t="shared" si="0"/>
        <v/>
      </c>
      <c r="H53" s="46" t="str">
        <f>IFERROR(#REF!,"")</f>
        <v/>
      </c>
      <c r="I53" s="47" t="str">
        <f>IFERROR(#REF!,"")</f>
        <v/>
      </c>
      <c r="J53" s="48" t="str">
        <f>IFERROR(#REF!,"")</f>
        <v/>
      </c>
      <c r="K53" s="49" t="str">
        <f>IFERROR(#REF!,"")</f>
        <v/>
      </c>
    </row>
    <row r="54" spans="3:11" ht="12.75" customHeight="1" x14ac:dyDescent="0.2">
      <c r="C54" s="104" t="s">
        <v>70</v>
      </c>
      <c r="D54" s="105"/>
      <c r="E54" s="106"/>
      <c r="F54" s="44" t="str">
        <f>IFERROR(#REF!,"")</f>
        <v/>
      </c>
      <c r="G54" s="45" t="str">
        <f t="shared" si="0"/>
        <v/>
      </c>
      <c r="H54" s="46" t="str">
        <f>IFERROR(#REF!,"")</f>
        <v/>
      </c>
      <c r="I54" s="47" t="str">
        <f>IFERROR(#REF!,"")</f>
        <v/>
      </c>
      <c r="J54" s="48" t="str">
        <f>IFERROR(#REF!,"")</f>
        <v/>
      </c>
      <c r="K54" s="49" t="str">
        <f>IFERROR(#REF!,"")</f>
        <v/>
      </c>
    </row>
    <row r="55" spans="3:11" ht="12.75" customHeight="1" x14ac:dyDescent="0.2">
      <c r="C55" s="104" t="s">
        <v>71</v>
      </c>
      <c r="D55" s="105"/>
      <c r="E55" s="106"/>
      <c r="F55" s="44" t="str">
        <f>IFERROR(#REF!,"")</f>
        <v/>
      </c>
      <c r="G55" s="45" t="str">
        <f t="shared" si="0"/>
        <v/>
      </c>
      <c r="H55" s="46" t="str">
        <f>IFERROR(#REF!,"")</f>
        <v/>
      </c>
      <c r="I55" s="47" t="str">
        <f>IFERROR(#REF!,"")</f>
        <v/>
      </c>
      <c r="J55" s="48" t="str">
        <f>IFERROR(#REF!,"")</f>
        <v/>
      </c>
      <c r="K55" s="49" t="str">
        <f>IFERROR(#REF!,"")</f>
        <v/>
      </c>
    </row>
    <row r="56" spans="3:11" ht="12.75" customHeight="1" x14ac:dyDescent="0.2">
      <c r="C56" s="104" t="s">
        <v>72</v>
      </c>
      <c r="D56" s="105"/>
      <c r="E56" s="106"/>
      <c r="F56" s="44" t="str">
        <f>IFERROR(#REF!,"")</f>
        <v/>
      </c>
      <c r="G56" s="45" t="str">
        <f t="shared" si="0"/>
        <v/>
      </c>
      <c r="H56" s="46" t="str">
        <f>IFERROR(#REF!,"")</f>
        <v/>
      </c>
      <c r="I56" s="47" t="str">
        <f>IFERROR(#REF!,"")</f>
        <v/>
      </c>
      <c r="J56" s="48" t="str">
        <f>IFERROR(#REF!,"")</f>
        <v/>
      </c>
      <c r="K56" s="49" t="str">
        <f>IFERROR(#REF!,"")</f>
        <v/>
      </c>
    </row>
    <row r="57" spans="3:11" ht="12.75" customHeight="1" x14ac:dyDescent="0.2">
      <c r="C57" s="104" t="s">
        <v>73</v>
      </c>
      <c r="D57" s="105"/>
      <c r="E57" s="106"/>
      <c r="F57" s="44" t="str">
        <f>IFERROR(#REF!,"")</f>
        <v/>
      </c>
      <c r="G57" s="45" t="str">
        <f t="shared" si="0"/>
        <v/>
      </c>
      <c r="H57" s="46" t="str">
        <f>IFERROR(#REF!,"")</f>
        <v/>
      </c>
      <c r="I57" s="47" t="str">
        <f>IFERROR(#REF!,"")</f>
        <v/>
      </c>
      <c r="J57" s="48" t="str">
        <f>IFERROR(#REF!,"")</f>
        <v/>
      </c>
      <c r="K57" s="49" t="str">
        <f>IFERROR(#REF!,"")</f>
        <v/>
      </c>
    </row>
    <row r="58" spans="3:11" ht="12.75" customHeight="1" x14ac:dyDescent="0.2">
      <c r="C58" s="104" t="s">
        <v>74</v>
      </c>
      <c r="D58" s="105"/>
      <c r="E58" s="106"/>
      <c r="F58" s="44" t="str">
        <f>IFERROR(#REF!,"")</f>
        <v/>
      </c>
      <c r="G58" s="45" t="str">
        <f t="shared" ref="G58:G89" si="1">IFERROR((H58+I58)/F58,"")</f>
        <v/>
      </c>
      <c r="H58" s="46" t="str">
        <f>IFERROR(#REF!,"")</f>
        <v/>
      </c>
      <c r="I58" s="47" t="str">
        <f>IFERROR(#REF!,"")</f>
        <v/>
      </c>
      <c r="J58" s="48" t="str">
        <f>IFERROR(#REF!,"")</f>
        <v/>
      </c>
      <c r="K58" s="49" t="str">
        <f>IFERROR(#REF!,"")</f>
        <v/>
      </c>
    </row>
    <row r="59" spans="3:11" ht="12.75" customHeight="1" x14ac:dyDescent="0.2">
      <c r="C59" s="104" t="s">
        <v>75</v>
      </c>
      <c r="D59" s="105"/>
      <c r="E59" s="106"/>
      <c r="F59" s="44" t="str">
        <f>IFERROR(#REF!,"")</f>
        <v/>
      </c>
      <c r="G59" s="45" t="str">
        <f t="shared" si="1"/>
        <v/>
      </c>
      <c r="H59" s="46" t="str">
        <f>IFERROR(#REF!,"")</f>
        <v/>
      </c>
      <c r="I59" s="47" t="str">
        <f>IFERROR(#REF!,"")</f>
        <v/>
      </c>
      <c r="J59" s="48" t="str">
        <f>IFERROR(#REF!,"")</f>
        <v/>
      </c>
      <c r="K59" s="49" t="str">
        <f>IFERROR(#REF!,"")</f>
        <v/>
      </c>
    </row>
    <row r="60" spans="3:11" ht="12.75" customHeight="1" x14ac:dyDescent="0.2">
      <c r="C60" s="104" t="s">
        <v>76</v>
      </c>
      <c r="D60" s="105"/>
      <c r="E60" s="106"/>
      <c r="F60" s="44" t="str">
        <f>IFERROR(#REF!,"")</f>
        <v/>
      </c>
      <c r="G60" s="45" t="str">
        <f t="shared" si="1"/>
        <v/>
      </c>
      <c r="H60" s="46" t="str">
        <f>IFERROR(#REF!,"")</f>
        <v/>
      </c>
      <c r="I60" s="47" t="str">
        <f>IFERROR(#REF!,"")</f>
        <v/>
      </c>
      <c r="J60" s="48" t="str">
        <f>IFERROR(#REF!,"")</f>
        <v/>
      </c>
      <c r="K60" s="49" t="str">
        <f>IFERROR(#REF!,"")</f>
        <v/>
      </c>
    </row>
    <row r="61" spans="3:11" ht="12.75" customHeight="1" x14ac:dyDescent="0.2">
      <c r="C61" s="104" t="s">
        <v>77</v>
      </c>
      <c r="D61" s="105"/>
      <c r="E61" s="106"/>
      <c r="F61" s="44" t="str">
        <f>IFERROR(#REF!,"")</f>
        <v/>
      </c>
      <c r="G61" s="45" t="str">
        <f t="shared" si="1"/>
        <v/>
      </c>
      <c r="H61" s="46" t="str">
        <f>IFERROR(#REF!,"")</f>
        <v/>
      </c>
      <c r="I61" s="47" t="str">
        <f>IFERROR(#REF!,"")</f>
        <v/>
      </c>
      <c r="J61" s="48" t="str">
        <f>IFERROR(#REF!,"")</f>
        <v/>
      </c>
      <c r="K61" s="49" t="str">
        <f>IFERROR(#REF!,"")</f>
        <v/>
      </c>
    </row>
    <row r="62" spans="3:11" ht="12.75" customHeight="1" x14ac:dyDescent="0.2">
      <c r="C62" s="104" t="s">
        <v>78</v>
      </c>
      <c r="D62" s="105"/>
      <c r="E62" s="106"/>
      <c r="F62" s="44" t="str">
        <f>IFERROR(#REF!,"")</f>
        <v/>
      </c>
      <c r="G62" s="45" t="str">
        <f t="shared" si="1"/>
        <v/>
      </c>
      <c r="H62" s="46" t="str">
        <f>IFERROR(#REF!,"")</f>
        <v/>
      </c>
      <c r="I62" s="47" t="str">
        <f>IFERROR(#REF!,"")</f>
        <v/>
      </c>
      <c r="J62" s="48" t="str">
        <f>IFERROR(#REF!,"")</f>
        <v/>
      </c>
      <c r="K62" s="49" t="str">
        <f>IFERROR(#REF!,"")</f>
        <v/>
      </c>
    </row>
    <row r="63" spans="3:11" ht="12.75" customHeight="1" x14ac:dyDescent="0.2">
      <c r="C63" s="104" t="s">
        <v>79</v>
      </c>
      <c r="D63" s="105"/>
      <c r="E63" s="106"/>
      <c r="F63" s="44" t="str">
        <f>IFERROR(#REF!,"")</f>
        <v/>
      </c>
      <c r="G63" s="45" t="str">
        <f t="shared" si="1"/>
        <v/>
      </c>
      <c r="H63" s="46" t="str">
        <f>IFERROR(#REF!,"")</f>
        <v/>
      </c>
      <c r="I63" s="47" t="str">
        <f>IFERROR(#REF!,"")</f>
        <v/>
      </c>
      <c r="J63" s="48" t="str">
        <f>IFERROR(#REF!,"")</f>
        <v/>
      </c>
      <c r="K63" s="49" t="str">
        <f>IFERROR(#REF!,"")</f>
        <v/>
      </c>
    </row>
    <row r="64" spans="3:11" ht="12.75" customHeight="1" x14ac:dyDescent="0.2">
      <c r="C64" s="104" t="s">
        <v>80</v>
      </c>
      <c r="D64" s="105"/>
      <c r="E64" s="106"/>
      <c r="F64" s="44" t="str">
        <f>IFERROR(#REF!,"")</f>
        <v/>
      </c>
      <c r="G64" s="45" t="str">
        <f t="shared" si="1"/>
        <v/>
      </c>
      <c r="H64" s="46" t="str">
        <f>IFERROR(#REF!,"")</f>
        <v/>
      </c>
      <c r="I64" s="47" t="str">
        <f>IFERROR(#REF!,"")</f>
        <v/>
      </c>
      <c r="J64" s="48" t="str">
        <f>IFERROR(#REF!,"")</f>
        <v/>
      </c>
      <c r="K64" s="49" t="str">
        <f>IFERROR(#REF!,"")</f>
        <v/>
      </c>
    </row>
    <row r="65" spans="3:11" ht="12.75" customHeight="1" x14ac:dyDescent="0.2">
      <c r="C65" s="104" t="s">
        <v>151</v>
      </c>
      <c r="D65" s="105"/>
      <c r="E65" s="106"/>
      <c r="F65" s="44" t="str">
        <f>IFERROR(#REF!,"")</f>
        <v/>
      </c>
      <c r="G65" s="45" t="str">
        <f t="shared" si="1"/>
        <v/>
      </c>
      <c r="H65" s="46" t="str">
        <f>IFERROR(#REF!,"")</f>
        <v/>
      </c>
      <c r="I65" s="47" t="str">
        <f>IFERROR(#REF!,"")</f>
        <v/>
      </c>
      <c r="J65" s="48" t="str">
        <f>IFERROR(#REF!,"")</f>
        <v/>
      </c>
      <c r="K65" s="49" t="str">
        <f>IFERROR(#REF!,"")</f>
        <v/>
      </c>
    </row>
    <row r="66" spans="3:11" ht="12.75" customHeight="1" x14ac:dyDescent="0.2">
      <c r="C66" s="104" t="s">
        <v>182</v>
      </c>
      <c r="D66" s="105"/>
      <c r="E66" s="106"/>
      <c r="F66" s="44" t="str">
        <f>IFERROR(#REF!,"")</f>
        <v/>
      </c>
      <c r="G66" s="45" t="str">
        <f t="shared" si="1"/>
        <v/>
      </c>
      <c r="H66" s="46" t="str">
        <f>IFERROR(#REF!,"")</f>
        <v/>
      </c>
      <c r="I66" s="47" t="str">
        <f>IFERROR(#REF!,"")</f>
        <v/>
      </c>
      <c r="J66" s="48" t="str">
        <f>IFERROR(#REF!,"")</f>
        <v/>
      </c>
      <c r="K66" s="49" t="str">
        <f>IFERROR(#REF!,"")</f>
        <v/>
      </c>
    </row>
    <row r="67" spans="3:11" ht="12.75" customHeight="1" x14ac:dyDescent="0.2">
      <c r="C67" s="104" t="s">
        <v>81</v>
      </c>
      <c r="D67" s="105"/>
      <c r="E67" s="106"/>
      <c r="F67" s="44" t="str">
        <f>IFERROR(#REF!,"")</f>
        <v/>
      </c>
      <c r="G67" s="45" t="str">
        <f t="shared" si="1"/>
        <v/>
      </c>
      <c r="H67" s="46" t="str">
        <f>IFERROR(#REF!,"")</f>
        <v/>
      </c>
      <c r="I67" s="47" t="str">
        <f>IFERROR(#REF!,"")</f>
        <v/>
      </c>
      <c r="J67" s="48" t="str">
        <f>IFERROR(#REF!,"")</f>
        <v/>
      </c>
      <c r="K67" s="49" t="str">
        <f>IFERROR(#REF!,"")</f>
        <v/>
      </c>
    </row>
    <row r="68" spans="3:11" ht="12.75" customHeight="1" x14ac:dyDescent="0.2">
      <c r="C68" s="104" t="s">
        <v>82</v>
      </c>
      <c r="D68" s="105"/>
      <c r="E68" s="106"/>
      <c r="F68" s="44" t="str">
        <f>IFERROR(#REF!,"")</f>
        <v/>
      </c>
      <c r="G68" s="45" t="str">
        <f t="shared" si="1"/>
        <v/>
      </c>
      <c r="H68" s="46" t="str">
        <f>IFERROR(#REF!,"")</f>
        <v/>
      </c>
      <c r="I68" s="47" t="str">
        <f>IFERROR(#REF!,"")</f>
        <v/>
      </c>
      <c r="J68" s="48" t="str">
        <f>IFERROR(#REF!,"")</f>
        <v/>
      </c>
      <c r="K68" s="49" t="str">
        <f>IFERROR(#REF!,"")</f>
        <v/>
      </c>
    </row>
    <row r="69" spans="3:11" ht="12.75" customHeight="1" x14ac:dyDescent="0.2">
      <c r="C69" s="104" t="s">
        <v>90</v>
      </c>
      <c r="D69" s="105"/>
      <c r="E69" s="106"/>
      <c r="F69" s="44" t="str">
        <f>IFERROR(#REF!,"")</f>
        <v/>
      </c>
      <c r="G69" s="45" t="str">
        <f t="shared" si="1"/>
        <v/>
      </c>
      <c r="H69" s="46" t="str">
        <f>IFERROR(#REF!,"")</f>
        <v/>
      </c>
      <c r="I69" s="47" t="str">
        <f>IFERROR(#REF!,"")</f>
        <v/>
      </c>
      <c r="J69" s="48" t="str">
        <f>IFERROR(#REF!,"")</f>
        <v/>
      </c>
      <c r="K69" s="49" t="str">
        <f>IFERROR(#REF!,"")</f>
        <v/>
      </c>
    </row>
    <row r="70" spans="3:11" ht="12.75" customHeight="1" x14ac:dyDescent="0.2">
      <c r="C70" s="104" t="s">
        <v>92</v>
      </c>
      <c r="D70" s="105"/>
      <c r="E70" s="106"/>
      <c r="F70" s="44" t="str">
        <f>IFERROR(#REF!,"")</f>
        <v/>
      </c>
      <c r="G70" s="45" t="str">
        <f t="shared" si="1"/>
        <v/>
      </c>
      <c r="H70" s="46" t="str">
        <f>IFERROR(#REF!,"")</f>
        <v/>
      </c>
      <c r="I70" s="47" t="str">
        <f>IFERROR(#REF!,"")</f>
        <v/>
      </c>
      <c r="J70" s="48" t="str">
        <f>IFERROR(#REF!,"")</f>
        <v/>
      </c>
      <c r="K70" s="49" t="str">
        <f>IFERROR(#REF!,"")</f>
        <v/>
      </c>
    </row>
    <row r="71" spans="3:11" ht="12.75" customHeight="1" x14ac:dyDescent="0.2">
      <c r="C71" s="104" t="s">
        <v>93</v>
      </c>
      <c r="D71" s="105"/>
      <c r="E71" s="106"/>
      <c r="F71" s="44" t="str">
        <f>IFERROR(#REF!,"")</f>
        <v/>
      </c>
      <c r="G71" s="45" t="str">
        <f t="shared" si="1"/>
        <v/>
      </c>
      <c r="H71" s="46" t="str">
        <f>IFERROR(#REF!,"")</f>
        <v/>
      </c>
      <c r="I71" s="47" t="str">
        <f>IFERROR(#REF!,"")</f>
        <v/>
      </c>
      <c r="J71" s="48" t="str">
        <f>IFERROR(#REF!,"")</f>
        <v/>
      </c>
      <c r="K71" s="49" t="str">
        <f>IFERROR(#REF!,"")</f>
        <v/>
      </c>
    </row>
    <row r="72" spans="3:11" ht="12.75" customHeight="1" x14ac:dyDescent="0.2">
      <c r="C72" s="104" t="s">
        <v>154</v>
      </c>
      <c r="D72" s="105"/>
      <c r="E72" s="106"/>
      <c r="F72" s="44" t="str">
        <f>IFERROR(#REF!,"")</f>
        <v/>
      </c>
      <c r="G72" s="45" t="str">
        <f t="shared" si="1"/>
        <v/>
      </c>
      <c r="H72" s="46" t="str">
        <f>IFERROR(#REF!,"")</f>
        <v/>
      </c>
      <c r="I72" s="47" t="str">
        <f>IFERROR(#REF!,"")</f>
        <v/>
      </c>
      <c r="J72" s="48" t="str">
        <f>IFERROR(#REF!,"")</f>
        <v/>
      </c>
      <c r="K72" s="49" t="str">
        <f>IFERROR(#REF!,"")</f>
        <v/>
      </c>
    </row>
    <row r="73" spans="3:11" ht="12.75" customHeight="1" x14ac:dyDescent="0.2">
      <c r="C73" s="104" t="s">
        <v>155</v>
      </c>
      <c r="D73" s="105"/>
      <c r="E73" s="106"/>
      <c r="F73" s="44" t="str">
        <f>IFERROR(#REF!,"")</f>
        <v/>
      </c>
      <c r="G73" s="45" t="str">
        <f t="shared" si="1"/>
        <v/>
      </c>
      <c r="H73" s="46" t="str">
        <f>IFERROR(#REF!,"")</f>
        <v/>
      </c>
      <c r="I73" s="47" t="str">
        <f>IFERROR(#REF!,"")</f>
        <v/>
      </c>
      <c r="J73" s="48" t="str">
        <f>IFERROR(#REF!,"")</f>
        <v/>
      </c>
      <c r="K73" s="49" t="str">
        <f>IFERROR(#REF!,"")</f>
        <v/>
      </c>
    </row>
    <row r="74" spans="3:11" ht="12.75" customHeight="1" x14ac:dyDescent="0.2">
      <c r="C74" s="104" t="s">
        <v>156</v>
      </c>
      <c r="D74" s="105"/>
      <c r="E74" s="106"/>
      <c r="F74" s="44" t="str">
        <f>IFERROR(#REF!,"")</f>
        <v/>
      </c>
      <c r="G74" s="45" t="str">
        <f t="shared" si="1"/>
        <v/>
      </c>
      <c r="H74" s="46" t="str">
        <f>IFERROR(#REF!,"")</f>
        <v/>
      </c>
      <c r="I74" s="47" t="str">
        <f>IFERROR(#REF!,"")</f>
        <v/>
      </c>
      <c r="J74" s="48" t="str">
        <f>IFERROR(#REF!,"")</f>
        <v/>
      </c>
      <c r="K74" s="49" t="str">
        <f>IFERROR(#REF!,"")</f>
        <v/>
      </c>
    </row>
    <row r="75" spans="3:11" ht="12.75" customHeight="1" x14ac:dyDescent="0.2">
      <c r="C75" s="104" t="s">
        <v>157</v>
      </c>
      <c r="D75" s="105"/>
      <c r="E75" s="106"/>
      <c r="F75" s="44" t="str">
        <f>IFERROR(#REF!,"")</f>
        <v/>
      </c>
      <c r="G75" s="45" t="str">
        <f t="shared" si="1"/>
        <v/>
      </c>
      <c r="H75" s="46" t="str">
        <f>IFERROR(#REF!,"")</f>
        <v/>
      </c>
      <c r="I75" s="47" t="str">
        <f>IFERROR(#REF!,"")</f>
        <v/>
      </c>
      <c r="J75" s="48" t="str">
        <f>IFERROR(#REF!,"")</f>
        <v/>
      </c>
      <c r="K75" s="49" t="str">
        <f>IFERROR(#REF!,"")</f>
        <v/>
      </c>
    </row>
    <row r="76" spans="3:11" ht="12.75" customHeight="1" x14ac:dyDescent="0.2">
      <c r="C76" s="104" t="s">
        <v>158</v>
      </c>
      <c r="D76" s="105"/>
      <c r="E76" s="106"/>
      <c r="F76" s="44" t="str">
        <f>IFERROR(#REF!,"")</f>
        <v/>
      </c>
      <c r="G76" s="45" t="str">
        <f t="shared" si="1"/>
        <v/>
      </c>
      <c r="H76" s="46" t="str">
        <f>IFERROR(#REF!,"")</f>
        <v/>
      </c>
      <c r="I76" s="47" t="str">
        <f>IFERROR(#REF!,"")</f>
        <v/>
      </c>
      <c r="J76" s="48" t="str">
        <f>IFERROR(#REF!,"")</f>
        <v/>
      </c>
      <c r="K76" s="49" t="str">
        <f>IFERROR(#REF!,"")</f>
        <v/>
      </c>
    </row>
    <row r="77" spans="3:11" ht="12.75" customHeight="1" x14ac:dyDescent="0.2">
      <c r="C77" s="104" t="s">
        <v>159</v>
      </c>
      <c r="D77" s="105"/>
      <c r="E77" s="106"/>
      <c r="F77" s="44" t="str">
        <f>IFERROR(#REF!,"")</f>
        <v/>
      </c>
      <c r="G77" s="45" t="str">
        <f t="shared" si="1"/>
        <v/>
      </c>
      <c r="H77" s="46" t="str">
        <f>IFERROR(#REF!,"")</f>
        <v/>
      </c>
      <c r="I77" s="47" t="str">
        <f>IFERROR(#REF!,"")</f>
        <v/>
      </c>
      <c r="J77" s="48" t="str">
        <f>IFERROR(#REF!,"")</f>
        <v/>
      </c>
      <c r="K77" s="49" t="str">
        <f>IFERROR(#REF!,"")</f>
        <v/>
      </c>
    </row>
    <row r="78" spans="3:11" ht="12.75" customHeight="1" x14ac:dyDescent="0.2">
      <c r="C78" s="104" t="s">
        <v>160</v>
      </c>
      <c r="D78" s="105"/>
      <c r="E78" s="106"/>
      <c r="F78" s="44" t="str">
        <f>IFERROR(#REF!,"")</f>
        <v/>
      </c>
      <c r="G78" s="45" t="str">
        <f t="shared" si="1"/>
        <v/>
      </c>
      <c r="H78" s="46" t="str">
        <f>IFERROR(#REF!,"")</f>
        <v/>
      </c>
      <c r="I78" s="47" t="str">
        <f>IFERROR(#REF!,"")</f>
        <v/>
      </c>
      <c r="J78" s="48" t="str">
        <f>IFERROR(#REF!,"")</f>
        <v/>
      </c>
      <c r="K78" s="49" t="str">
        <f>IFERROR(#REF!,"")</f>
        <v/>
      </c>
    </row>
    <row r="79" spans="3:11" ht="12.75" customHeight="1" x14ac:dyDescent="0.2">
      <c r="C79" s="104" t="s">
        <v>152</v>
      </c>
      <c r="D79" s="105"/>
      <c r="E79" s="106"/>
      <c r="F79" s="44" t="str">
        <f>IFERROR(#REF!,"")</f>
        <v/>
      </c>
      <c r="G79" s="45" t="str">
        <f t="shared" si="1"/>
        <v/>
      </c>
      <c r="H79" s="46" t="str">
        <f>IFERROR(#REF!,"")</f>
        <v/>
      </c>
      <c r="I79" s="47" t="str">
        <f>IFERROR(#REF!,"")</f>
        <v/>
      </c>
      <c r="J79" s="48" t="str">
        <f>IFERROR(#REF!,"")</f>
        <v/>
      </c>
      <c r="K79" s="49" t="str">
        <f>IFERROR(#REF!,"")</f>
        <v/>
      </c>
    </row>
    <row r="80" spans="3:11" ht="12.75" customHeight="1" x14ac:dyDescent="0.2">
      <c r="C80" s="104" t="s">
        <v>161</v>
      </c>
      <c r="D80" s="105"/>
      <c r="E80" s="106"/>
      <c r="F80" s="44" t="str">
        <f>IFERROR(#REF!,"")</f>
        <v/>
      </c>
      <c r="G80" s="45" t="str">
        <f t="shared" si="1"/>
        <v/>
      </c>
      <c r="H80" s="46" t="str">
        <f>IFERROR(#REF!,"")</f>
        <v/>
      </c>
      <c r="I80" s="47" t="str">
        <f>IFERROR(#REF!,"")</f>
        <v/>
      </c>
      <c r="J80" s="48" t="str">
        <f>IFERROR(#REF!,"")</f>
        <v/>
      </c>
      <c r="K80" s="49" t="str">
        <f>IFERROR(#REF!,"")</f>
        <v/>
      </c>
    </row>
    <row r="81" spans="3:11" ht="12.75" customHeight="1" x14ac:dyDescent="0.2">
      <c r="C81" s="104" t="s">
        <v>162</v>
      </c>
      <c r="D81" s="105"/>
      <c r="E81" s="106"/>
      <c r="F81" s="44" t="str">
        <f>IFERROR(#REF!,"")</f>
        <v/>
      </c>
      <c r="G81" s="45" t="str">
        <f t="shared" si="1"/>
        <v/>
      </c>
      <c r="H81" s="46" t="str">
        <f>IFERROR(#REF!,"")</f>
        <v/>
      </c>
      <c r="I81" s="47" t="str">
        <f>IFERROR(#REF!,"")</f>
        <v/>
      </c>
      <c r="J81" s="48" t="str">
        <f>IFERROR(#REF!,"")</f>
        <v/>
      </c>
      <c r="K81" s="49" t="str">
        <f>IFERROR(#REF!,"")</f>
        <v/>
      </c>
    </row>
    <row r="82" spans="3:11" ht="12.75" customHeight="1" x14ac:dyDescent="0.2">
      <c r="C82" s="104" t="s">
        <v>163</v>
      </c>
      <c r="D82" s="105"/>
      <c r="E82" s="106"/>
      <c r="F82" s="44" t="str">
        <f>IFERROR(#REF!,"")</f>
        <v/>
      </c>
      <c r="G82" s="45" t="str">
        <f t="shared" si="1"/>
        <v/>
      </c>
      <c r="H82" s="46" t="str">
        <f>IFERROR(#REF!,"")</f>
        <v/>
      </c>
      <c r="I82" s="47" t="str">
        <f>IFERROR(#REF!,"")</f>
        <v/>
      </c>
      <c r="J82" s="48" t="str">
        <f>IFERROR(#REF!,"")</f>
        <v/>
      </c>
      <c r="K82" s="49" t="str">
        <f>IFERROR(#REF!,"")</f>
        <v/>
      </c>
    </row>
    <row r="83" spans="3:11" ht="12.75" customHeight="1" x14ac:dyDescent="0.2">
      <c r="C83" s="104" t="s">
        <v>164</v>
      </c>
      <c r="D83" s="105"/>
      <c r="E83" s="106"/>
      <c r="F83" s="44" t="str">
        <f>IFERROR(#REF!,"")</f>
        <v/>
      </c>
      <c r="G83" s="45" t="str">
        <f t="shared" si="1"/>
        <v/>
      </c>
      <c r="H83" s="46" t="str">
        <f>IFERROR(#REF!,"")</f>
        <v/>
      </c>
      <c r="I83" s="47" t="str">
        <f>IFERROR(#REF!,"")</f>
        <v/>
      </c>
      <c r="J83" s="48" t="str">
        <f>IFERROR(#REF!,"")</f>
        <v/>
      </c>
      <c r="K83" s="49" t="str">
        <f>IFERROR(#REF!,"")</f>
        <v/>
      </c>
    </row>
    <row r="84" spans="3:11" ht="12.75" customHeight="1" x14ac:dyDescent="0.2">
      <c r="C84" s="104" t="s">
        <v>165</v>
      </c>
      <c r="D84" s="105"/>
      <c r="E84" s="106"/>
      <c r="F84" s="44" t="str">
        <f>IFERROR(#REF!,"")</f>
        <v/>
      </c>
      <c r="G84" s="45" t="str">
        <f t="shared" si="1"/>
        <v/>
      </c>
      <c r="H84" s="46" t="str">
        <f>IFERROR(#REF!,"")</f>
        <v/>
      </c>
      <c r="I84" s="47" t="str">
        <f>IFERROR(#REF!,"")</f>
        <v/>
      </c>
      <c r="J84" s="48" t="str">
        <f>IFERROR(#REF!,"")</f>
        <v/>
      </c>
      <c r="K84" s="49" t="str">
        <f>IFERROR(#REF!,"")</f>
        <v/>
      </c>
    </row>
    <row r="85" spans="3:11" ht="12.75" customHeight="1" x14ac:dyDescent="0.2">
      <c r="C85" s="104" t="s">
        <v>166</v>
      </c>
      <c r="D85" s="105"/>
      <c r="E85" s="106"/>
      <c r="F85" s="44" t="str">
        <f>IFERROR(#REF!,"")</f>
        <v/>
      </c>
      <c r="G85" s="45" t="str">
        <f t="shared" si="1"/>
        <v/>
      </c>
      <c r="H85" s="46" t="str">
        <f>IFERROR(#REF!,"")</f>
        <v/>
      </c>
      <c r="I85" s="47" t="str">
        <f>IFERROR(#REF!,"")</f>
        <v/>
      </c>
      <c r="J85" s="48" t="str">
        <f>IFERROR(#REF!,"")</f>
        <v/>
      </c>
      <c r="K85" s="49" t="str">
        <f>IFERROR(#REF!,"")</f>
        <v/>
      </c>
    </row>
    <row r="86" spans="3:11" ht="12.75" customHeight="1" x14ac:dyDescent="0.2">
      <c r="C86" s="104" t="s">
        <v>167</v>
      </c>
      <c r="D86" s="105"/>
      <c r="E86" s="106"/>
      <c r="F86" s="44" t="str">
        <f>IFERROR(#REF!,"")</f>
        <v/>
      </c>
      <c r="G86" s="45" t="str">
        <f t="shared" si="1"/>
        <v/>
      </c>
      <c r="H86" s="46" t="str">
        <f>IFERROR(#REF!,"")</f>
        <v/>
      </c>
      <c r="I86" s="47" t="str">
        <f>IFERROR(#REF!,"")</f>
        <v/>
      </c>
      <c r="J86" s="48" t="str">
        <f>IFERROR(#REF!,"")</f>
        <v/>
      </c>
      <c r="K86" s="49" t="str">
        <f>IFERROR(#REF!,"")</f>
        <v/>
      </c>
    </row>
    <row r="87" spans="3:11" ht="12.75" customHeight="1" x14ac:dyDescent="0.2">
      <c r="C87" s="104" t="s">
        <v>153</v>
      </c>
      <c r="D87" s="105"/>
      <c r="E87" s="106"/>
      <c r="F87" s="44" t="str">
        <f>IFERROR(#REF!,"")</f>
        <v/>
      </c>
      <c r="G87" s="45" t="str">
        <f t="shared" si="1"/>
        <v/>
      </c>
      <c r="H87" s="46" t="str">
        <f>IFERROR(#REF!,"")</f>
        <v/>
      </c>
      <c r="I87" s="47" t="str">
        <f>IFERROR(#REF!,"")</f>
        <v/>
      </c>
      <c r="J87" s="48" t="str">
        <f>IFERROR(#REF!,"")</f>
        <v/>
      </c>
      <c r="K87" s="49" t="str">
        <f>IFERROR(#REF!,"")</f>
        <v/>
      </c>
    </row>
    <row r="88" spans="3:11" ht="12.75" customHeight="1" x14ac:dyDescent="0.2">
      <c r="C88" s="104" t="s">
        <v>168</v>
      </c>
      <c r="D88" s="105"/>
      <c r="E88" s="106"/>
      <c r="F88" s="44" t="str">
        <f>IFERROR(#REF!,"")</f>
        <v/>
      </c>
      <c r="G88" s="45" t="str">
        <f t="shared" si="1"/>
        <v/>
      </c>
      <c r="H88" s="46" t="str">
        <f>IFERROR(#REF!,"")</f>
        <v/>
      </c>
      <c r="I88" s="47" t="str">
        <f>IFERROR(#REF!,"")</f>
        <v/>
      </c>
      <c r="J88" s="48" t="str">
        <f>IFERROR(#REF!,"")</f>
        <v/>
      </c>
      <c r="K88" s="49" t="str">
        <f>IFERROR(#REF!,"")</f>
        <v/>
      </c>
    </row>
    <row r="89" spans="3:11" ht="12.75" customHeight="1" x14ac:dyDescent="0.2">
      <c r="C89" s="104" t="s">
        <v>169</v>
      </c>
      <c r="D89" s="105"/>
      <c r="E89" s="106"/>
      <c r="F89" s="44" t="str">
        <f>IFERROR(#REF!,"")</f>
        <v/>
      </c>
      <c r="G89" s="45" t="str">
        <f t="shared" si="1"/>
        <v/>
      </c>
      <c r="H89" s="46" t="str">
        <f>IFERROR(#REF!,"")</f>
        <v/>
      </c>
      <c r="I89" s="47" t="str">
        <f>IFERROR(#REF!,"")</f>
        <v/>
      </c>
      <c r="J89" s="48" t="str">
        <f>IFERROR(#REF!,"")</f>
        <v/>
      </c>
      <c r="K89" s="49" t="str">
        <f>IFERROR(#REF!,"")</f>
        <v/>
      </c>
    </row>
    <row r="90" spans="3:11" ht="12.75" customHeight="1" x14ac:dyDescent="0.2">
      <c r="C90" s="104" t="s">
        <v>170</v>
      </c>
      <c r="D90" s="105"/>
      <c r="E90" s="106"/>
      <c r="F90" s="44" t="str">
        <f>IFERROR(#REF!,"")</f>
        <v/>
      </c>
      <c r="G90" s="45" t="str">
        <f t="shared" ref="G90:G100" si="2">IFERROR((H90+I90)/F90,"")</f>
        <v/>
      </c>
      <c r="H90" s="46" t="str">
        <f>IFERROR(#REF!,"")</f>
        <v/>
      </c>
      <c r="I90" s="47" t="str">
        <f>IFERROR(#REF!,"")</f>
        <v/>
      </c>
      <c r="J90" s="48" t="str">
        <f>IFERROR(#REF!,"")</f>
        <v/>
      </c>
      <c r="K90" s="49" t="str">
        <f>IFERROR(#REF!,"")</f>
        <v/>
      </c>
    </row>
    <row r="91" spans="3:11" ht="12.75" customHeight="1" x14ac:dyDescent="0.2">
      <c r="C91" s="104" t="s">
        <v>171</v>
      </c>
      <c r="D91" s="105"/>
      <c r="E91" s="106"/>
      <c r="F91" s="44" t="str">
        <f>IFERROR(#REF!,"")</f>
        <v/>
      </c>
      <c r="G91" s="45" t="str">
        <f t="shared" si="2"/>
        <v/>
      </c>
      <c r="H91" s="46" t="str">
        <f>IFERROR(#REF!,"")</f>
        <v/>
      </c>
      <c r="I91" s="47" t="str">
        <f>IFERROR(#REF!,"")</f>
        <v/>
      </c>
      <c r="J91" s="48" t="str">
        <f>IFERROR(#REF!,"")</f>
        <v/>
      </c>
      <c r="K91" s="49" t="str">
        <f>IFERROR(#REF!,"")</f>
        <v/>
      </c>
    </row>
    <row r="92" spans="3:11" ht="12.75" customHeight="1" x14ac:dyDescent="0.2">
      <c r="C92" s="104" t="s">
        <v>172</v>
      </c>
      <c r="D92" s="105"/>
      <c r="E92" s="106"/>
      <c r="F92" s="44" t="str">
        <f>IFERROR(#REF!,"")</f>
        <v/>
      </c>
      <c r="G92" s="45" t="str">
        <f t="shared" si="2"/>
        <v/>
      </c>
      <c r="H92" s="46" t="str">
        <f>IFERROR(#REF!,"")</f>
        <v/>
      </c>
      <c r="I92" s="47" t="str">
        <f>IFERROR(#REF!,"")</f>
        <v/>
      </c>
      <c r="J92" s="48" t="str">
        <f>IFERROR(#REF!,"")</f>
        <v/>
      </c>
      <c r="K92" s="49" t="str">
        <f>IFERROR(#REF!,"")</f>
        <v/>
      </c>
    </row>
    <row r="93" spans="3:11" ht="12.75" customHeight="1" x14ac:dyDescent="0.2">
      <c r="C93" s="104" t="s">
        <v>173</v>
      </c>
      <c r="D93" s="105"/>
      <c r="E93" s="106"/>
      <c r="F93" s="44" t="str">
        <f>IFERROR(#REF!,"")</f>
        <v/>
      </c>
      <c r="G93" s="45" t="str">
        <f t="shared" si="2"/>
        <v/>
      </c>
      <c r="H93" s="46" t="str">
        <f>IFERROR(#REF!,"")</f>
        <v/>
      </c>
      <c r="I93" s="47" t="str">
        <f>IFERROR(#REF!,"")</f>
        <v/>
      </c>
      <c r="J93" s="48" t="str">
        <f>IFERROR(#REF!,"")</f>
        <v/>
      </c>
      <c r="K93" s="49" t="str">
        <f>IFERROR(#REF!,"")</f>
        <v/>
      </c>
    </row>
    <row r="94" spans="3:11" ht="12.75" customHeight="1" x14ac:dyDescent="0.2">
      <c r="C94" s="104" t="s">
        <v>174</v>
      </c>
      <c r="D94" s="105"/>
      <c r="E94" s="106"/>
      <c r="F94" s="44" t="str">
        <f>IFERROR(#REF!,"")</f>
        <v/>
      </c>
      <c r="G94" s="45" t="str">
        <f t="shared" si="2"/>
        <v/>
      </c>
      <c r="H94" s="46" t="str">
        <f>IFERROR(#REF!,"")</f>
        <v/>
      </c>
      <c r="I94" s="47" t="str">
        <f>IFERROR(#REF!,"")</f>
        <v/>
      </c>
      <c r="J94" s="48" t="str">
        <f>IFERROR(#REF!,"")</f>
        <v/>
      </c>
      <c r="K94" s="49" t="str">
        <f>IFERROR(#REF!,"")</f>
        <v/>
      </c>
    </row>
    <row r="95" spans="3:11" ht="12.75" customHeight="1" x14ac:dyDescent="0.2">
      <c r="C95" s="104" t="s">
        <v>175</v>
      </c>
      <c r="D95" s="105"/>
      <c r="E95" s="106"/>
      <c r="F95" s="44" t="str">
        <f>IFERROR(#REF!,"")</f>
        <v/>
      </c>
      <c r="G95" s="45" t="str">
        <f t="shared" si="2"/>
        <v/>
      </c>
      <c r="H95" s="46" t="str">
        <f>IFERROR(#REF!,"")</f>
        <v/>
      </c>
      <c r="I95" s="47" t="str">
        <f>IFERROR(#REF!,"")</f>
        <v/>
      </c>
      <c r="J95" s="48" t="str">
        <f>IFERROR(#REF!,"")</f>
        <v/>
      </c>
      <c r="K95" s="49" t="str">
        <f>IFERROR(#REF!,"")</f>
        <v/>
      </c>
    </row>
    <row r="96" spans="3:11" ht="12.75" customHeight="1" x14ac:dyDescent="0.2">
      <c r="C96" s="104" t="s">
        <v>176</v>
      </c>
      <c r="D96" s="105"/>
      <c r="E96" s="106"/>
      <c r="F96" s="44" t="str">
        <f>IFERROR(#REF!,"")</f>
        <v/>
      </c>
      <c r="G96" s="45" t="str">
        <f t="shared" si="2"/>
        <v/>
      </c>
      <c r="H96" s="46" t="str">
        <f>IFERROR(#REF!,"")</f>
        <v/>
      </c>
      <c r="I96" s="47" t="str">
        <f>IFERROR(#REF!,"")</f>
        <v/>
      </c>
      <c r="J96" s="48" t="str">
        <f>IFERROR(#REF!,"")</f>
        <v/>
      </c>
      <c r="K96" s="49" t="str">
        <f>IFERROR(#REF!,"")</f>
        <v/>
      </c>
    </row>
    <row r="97" spans="2:12" ht="12.75" customHeight="1" x14ac:dyDescent="0.2">
      <c r="C97" s="104" t="s">
        <v>177</v>
      </c>
      <c r="D97" s="105"/>
      <c r="E97" s="106"/>
      <c r="F97" s="44" t="str">
        <f>IFERROR(#REF!,"")</f>
        <v/>
      </c>
      <c r="G97" s="45" t="str">
        <f t="shared" si="2"/>
        <v/>
      </c>
      <c r="H97" s="46" t="str">
        <f>IFERROR(#REF!,"")</f>
        <v/>
      </c>
      <c r="I97" s="47" t="str">
        <f>IFERROR(#REF!,"")</f>
        <v/>
      </c>
      <c r="J97" s="48" t="str">
        <f>IFERROR(#REF!,"")</f>
        <v/>
      </c>
      <c r="K97" s="49" t="str">
        <f>IFERROR(#REF!,"")</f>
        <v/>
      </c>
    </row>
    <row r="98" spans="2:12" ht="12.75" customHeight="1" x14ac:dyDescent="0.2">
      <c r="C98" s="104" t="s">
        <v>178</v>
      </c>
      <c r="D98" s="105"/>
      <c r="E98" s="106"/>
      <c r="F98" s="44" t="str">
        <f>IFERROR(#REF!,"")</f>
        <v/>
      </c>
      <c r="G98" s="45" t="str">
        <f t="shared" si="2"/>
        <v/>
      </c>
      <c r="H98" s="46" t="str">
        <f>IFERROR(#REF!,"")</f>
        <v/>
      </c>
      <c r="I98" s="47" t="str">
        <f>IFERROR(#REF!,"")</f>
        <v/>
      </c>
      <c r="J98" s="48" t="str">
        <f>IFERROR(#REF!,"")</f>
        <v/>
      </c>
      <c r="K98" s="49" t="str">
        <f>IFERROR(#REF!,"")</f>
        <v/>
      </c>
    </row>
    <row r="99" spans="2:12" ht="12.75" customHeight="1" x14ac:dyDescent="0.2">
      <c r="C99" s="104" t="s">
        <v>179</v>
      </c>
      <c r="D99" s="105"/>
      <c r="E99" s="106"/>
      <c r="F99" s="44" t="str">
        <f>IFERROR(#REF!,"")</f>
        <v/>
      </c>
      <c r="G99" s="45" t="str">
        <f t="shared" si="2"/>
        <v/>
      </c>
      <c r="H99" s="46" t="str">
        <f>IFERROR(#REF!,"")</f>
        <v/>
      </c>
      <c r="I99" s="47" t="str">
        <f>IFERROR(#REF!,"")</f>
        <v/>
      </c>
      <c r="J99" s="48" t="str">
        <f>IFERROR(#REF!,"")</f>
        <v/>
      </c>
      <c r="K99" s="49" t="str">
        <f>IFERROR(#REF!,"")</f>
        <v/>
      </c>
    </row>
    <row r="100" spans="2:12" ht="12.75" customHeight="1" x14ac:dyDescent="0.2">
      <c r="C100" s="104" t="s">
        <v>180</v>
      </c>
      <c r="D100" s="105"/>
      <c r="E100" s="106"/>
      <c r="F100" s="44" t="str">
        <f>IFERROR(#REF!,"")</f>
        <v/>
      </c>
      <c r="G100" s="45" t="str">
        <f t="shared" si="2"/>
        <v/>
      </c>
      <c r="H100" s="46" t="str">
        <f>IFERROR(#REF!,"")</f>
        <v/>
      </c>
      <c r="I100" s="47" t="str">
        <f>IFERROR(#REF!,"")</f>
        <v/>
      </c>
      <c r="J100" s="48" t="str">
        <f>IFERROR(#REF!,"")</f>
        <v/>
      </c>
      <c r="K100" s="49" t="str">
        <f>IFERROR(#REF!,"")</f>
        <v/>
      </c>
    </row>
    <row r="101" spans="2:12" ht="12.95" customHeight="1" x14ac:dyDescent="0.2">
      <c r="I101" s="50"/>
      <c r="J101" s="50"/>
      <c r="K101" s="50"/>
    </row>
    <row r="102" spans="2:12" ht="12.95" customHeight="1" x14ac:dyDescent="0.2">
      <c r="B102" s="6"/>
      <c r="C102" s="7" t="s">
        <v>16</v>
      </c>
      <c r="D102" s="6"/>
      <c r="E102" s="6"/>
      <c r="F102" s="6"/>
      <c r="G102" s="6"/>
      <c r="H102" s="6"/>
      <c r="I102" s="6"/>
      <c r="J102" s="6"/>
      <c r="K102" s="6"/>
    </row>
    <row r="103" spans="2:12" ht="12.95" customHeight="1" x14ac:dyDescent="0.2"/>
    <row r="104" spans="2:12" ht="17.25" thickBot="1" x14ac:dyDescent="0.25">
      <c r="C104" s="40"/>
      <c r="D104" s="51" t="s">
        <v>15</v>
      </c>
      <c r="E104" s="51" t="s">
        <v>14</v>
      </c>
      <c r="F104" s="51" t="s">
        <v>13</v>
      </c>
      <c r="G104" s="51" t="s">
        <v>12</v>
      </c>
      <c r="H104" s="107" t="s">
        <v>11</v>
      </c>
      <c r="I104" s="108"/>
      <c r="J104" s="108"/>
      <c r="K104" s="109"/>
    </row>
    <row r="105" spans="2:12" ht="12.95" customHeight="1" thickTop="1" x14ac:dyDescent="0.2">
      <c r="C105" s="53" t="s">
        <v>10</v>
      </c>
      <c r="D105" s="54"/>
      <c r="E105" s="54"/>
      <c r="F105" s="54"/>
      <c r="G105" s="55"/>
      <c r="H105" s="129"/>
      <c r="I105" s="130"/>
      <c r="J105" s="130"/>
      <c r="K105" s="131"/>
    </row>
    <row r="106" spans="2:12" ht="12.95" customHeight="1" x14ac:dyDescent="0.2">
      <c r="C106" s="56" t="s">
        <v>9</v>
      </c>
      <c r="D106" s="57"/>
      <c r="E106" s="57"/>
      <c r="F106" s="57"/>
      <c r="G106" s="55"/>
      <c r="H106" s="126"/>
      <c r="I106" s="127"/>
      <c r="J106" s="127"/>
      <c r="K106" s="128"/>
    </row>
    <row r="107" spans="2:12" ht="12.95" customHeight="1" x14ac:dyDescent="0.2">
      <c r="C107" s="56" t="s">
        <v>8</v>
      </c>
      <c r="D107" s="57"/>
      <c r="E107" s="57"/>
      <c r="F107" s="57"/>
      <c r="G107" s="55"/>
      <c r="H107" s="126"/>
      <c r="I107" s="127"/>
      <c r="J107" s="127"/>
      <c r="K107" s="128"/>
    </row>
    <row r="108" spans="2:12" customFormat="1" ht="12.95" customHeight="1" x14ac:dyDescent="0.2"/>
    <row r="109" spans="2:12" ht="12.95" customHeight="1" x14ac:dyDescent="0.2"/>
    <row r="110" spans="2:12" s="2" customFormat="1" ht="12" hidden="1" customHeight="1" x14ac:dyDescent="0.2">
      <c r="L110" s="58"/>
    </row>
    <row r="111" spans="2:12" ht="0" hidden="1" customHeight="1" x14ac:dyDescent="0.2"/>
  </sheetData>
  <mergeCells count="92">
    <mergeCell ref="C81:E81"/>
    <mergeCell ref="C80:E80"/>
    <mergeCell ref="C79:E79"/>
    <mergeCell ref="C78:E78"/>
    <mergeCell ref="C77:E77"/>
    <mergeCell ref="C86:E86"/>
    <mergeCell ref="C85:E85"/>
    <mergeCell ref="C84:E84"/>
    <mergeCell ref="C83:E83"/>
    <mergeCell ref="C82:E82"/>
    <mergeCell ref="H107:K107"/>
    <mergeCell ref="H104:K104"/>
    <mergeCell ref="H105:K105"/>
    <mergeCell ref="H106:K106"/>
    <mergeCell ref="C100:E100"/>
    <mergeCell ref="F16:F19"/>
    <mergeCell ref="J3:K3"/>
    <mergeCell ref="C3:D3"/>
    <mergeCell ref="E3:G3"/>
    <mergeCell ref="C13:K13"/>
    <mergeCell ref="C4:D4"/>
    <mergeCell ref="E4:G4"/>
    <mergeCell ref="H4:I4"/>
    <mergeCell ref="J4:K4"/>
    <mergeCell ref="H3:I3"/>
    <mergeCell ref="C16:C20"/>
    <mergeCell ref="C25:E25"/>
    <mergeCell ref="C21:D21"/>
    <mergeCell ref="C26:E26"/>
    <mergeCell ref="C99:E99"/>
    <mergeCell ref="C98:E98"/>
    <mergeCell ref="C97:E97"/>
    <mergeCell ref="C96:E96"/>
    <mergeCell ref="C95:E95"/>
    <mergeCell ref="C94:E94"/>
    <mergeCell ref="C93:E93"/>
    <mergeCell ref="C92:E92"/>
    <mergeCell ref="C91:E91"/>
    <mergeCell ref="C90:E90"/>
    <mergeCell ref="C89:E89"/>
    <mergeCell ref="C88:E88"/>
    <mergeCell ref="C87:E87"/>
    <mergeCell ref="C76:E76"/>
    <mergeCell ref="C75:E75"/>
    <mergeCell ref="C74:E74"/>
    <mergeCell ref="C73:E73"/>
    <mergeCell ref="C72:E72"/>
    <mergeCell ref="C71:E71"/>
    <mergeCell ref="C70:E70"/>
    <mergeCell ref="C69:E69"/>
    <mergeCell ref="C68:E68"/>
    <mergeCell ref="C67:E67"/>
    <mergeCell ref="C66:E66"/>
    <mergeCell ref="C65:E65"/>
    <mergeCell ref="C64:E64"/>
    <mergeCell ref="C63:E63"/>
    <mergeCell ref="C62:E62"/>
    <mergeCell ref="C61:E61"/>
    <mergeCell ref="C60:E60"/>
    <mergeCell ref="C59:E59"/>
    <mergeCell ref="C58:E58"/>
    <mergeCell ref="C57:E57"/>
    <mergeCell ref="C56:E56"/>
    <mergeCell ref="C55:E55"/>
    <mergeCell ref="C54:E54"/>
    <mergeCell ref="C53:E53"/>
    <mergeCell ref="C52:E52"/>
    <mergeCell ref="C51:E51"/>
    <mergeCell ref="C50:E50"/>
    <mergeCell ref="C49:E49"/>
    <mergeCell ref="C48:E48"/>
    <mergeCell ref="C47:E47"/>
    <mergeCell ref="C46:E46"/>
    <mergeCell ref="C45:E45"/>
    <mergeCell ref="C44:E44"/>
    <mergeCell ref="C43:E43"/>
    <mergeCell ref="C42:E42"/>
    <mergeCell ref="C41:E41"/>
    <mergeCell ref="C40:E40"/>
    <mergeCell ref="C39:E39"/>
    <mergeCell ref="C38:E38"/>
    <mergeCell ref="C37:E37"/>
    <mergeCell ref="C36:E36"/>
    <mergeCell ref="C35:E35"/>
    <mergeCell ref="C34:E34"/>
    <mergeCell ref="C33:E33"/>
    <mergeCell ref="C32:E32"/>
    <mergeCell ref="C31:E31"/>
    <mergeCell ref="C30:E30"/>
    <mergeCell ref="C29:E29"/>
    <mergeCell ref="C28:E28"/>
    <mergeCell ref="C27:E27"/>
  </mergeCells>
  <phoneticPr fontId="11" type="noConversion"/>
  <conditionalFormatting sqref="H21">
    <cfRule type="dataBar" priority="726">
      <dataBar>
        <cfvo type="num" val="0"/>
        <cfvo type="num" val="1"/>
        <color theme="2" tint="-0.249977111117893"/>
      </dataBar>
      <extLst>
        <ext xmlns:x14="http://schemas.microsoft.com/office/spreadsheetml/2009/9/main" uri="{B025F937-C7B1-47D3-B67F-A62EFF666E3E}">
          <x14:id>{D5DE39B3-468D-43DE-BDBD-C746442336D3}</x14:id>
        </ext>
      </extLst>
    </cfRule>
  </conditionalFormatting>
  <conditionalFormatting sqref="E21">
    <cfRule type="dataBar" priority="72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{8CC3BF74-FC36-4D06-A513-41987549EF00}</x14:id>
        </ext>
      </extLst>
    </cfRule>
  </conditionalFormatting>
  <conditionalFormatting sqref="K21">
    <cfRule type="dataBar" priority="725">
      <dataBar>
        <cfvo type="num" val="0"/>
        <cfvo type="num" val="1"/>
        <color theme="4" tint="0.59999389629810485"/>
      </dataBar>
      <extLst>
        <ext xmlns:x14="http://schemas.microsoft.com/office/spreadsheetml/2009/9/main" uri="{B025F937-C7B1-47D3-B67F-A62EFF666E3E}">
          <x14:id>{890BEA2D-12CE-42BA-B01C-D7B30F44DC22}</x14:id>
        </ext>
      </extLst>
    </cfRule>
  </conditionalFormatting>
  <conditionalFormatting sqref="G26">
    <cfRule type="dataBar" priority="72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{DED60476-6667-4A07-BB30-919C8D88EBC0}</x14:id>
        </ext>
      </extLst>
    </cfRule>
  </conditionalFormatting>
  <conditionalFormatting sqref="G100">
    <cfRule type="dataBar" priority="7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{1F5FA4D8-4F11-4E58-AB9C-0424229F93C8}</x14:id>
        </ext>
      </extLst>
    </cfRule>
  </conditionalFormatting>
  <conditionalFormatting sqref="G99">
    <cfRule type="dataBar" priority="7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{0022038F-F276-4B63-AD92-1885E44BA408}</x14:id>
        </ext>
      </extLst>
    </cfRule>
  </conditionalFormatting>
  <conditionalFormatting sqref="G98">
    <cfRule type="dataBar" priority="7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{B7007208-0B1E-4AF7-9529-CC9D92CFB062}</x14:id>
        </ext>
      </extLst>
    </cfRule>
  </conditionalFormatting>
  <conditionalFormatting sqref="G97">
    <cfRule type="dataBar" priority="7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{72CCB80E-A5B2-4436-B361-BEFB0C7D4646}</x14:id>
        </ext>
      </extLst>
    </cfRule>
  </conditionalFormatting>
  <conditionalFormatting sqref="G96">
    <cfRule type="dataBar" priority="7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{29C49294-AED6-479E-B7A6-FD15F524BAC1}</x14:id>
        </ext>
      </extLst>
    </cfRule>
  </conditionalFormatting>
  <conditionalFormatting sqref="G95">
    <cfRule type="dataBar" priority="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{07432648-9AD3-4632-8B01-927F0EAE00C8}</x14:id>
        </ext>
      </extLst>
    </cfRule>
  </conditionalFormatting>
  <conditionalFormatting sqref="G94">
    <cfRule type="dataBar" priority="6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{C8FDB071-A296-4B6B-8CB0-E5187AF25F75}</x14:id>
        </ext>
      </extLst>
    </cfRule>
  </conditionalFormatting>
  <conditionalFormatting sqref="G93">
    <cfRule type="dataBar" priority="6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{B40E74BE-4A85-4227-8D25-35081C43D297}</x14:id>
        </ext>
      </extLst>
    </cfRule>
  </conditionalFormatting>
  <conditionalFormatting sqref="G92">
    <cfRule type="dataBar" priority="6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{F33B6C5C-6846-4E94-94D4-1E744CD2F6C2}</x14:id>
        </ext>
      </extLst>
    </cfRule>
  </conditionalFormatting>
  <conditionalFormatting sqref="G91">
    <cfRule type="dataBar" priority="6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{FC238B2F-5B4F-4FF3-9A6C-F8FECABF7F2A}</x14:id>
        </ext>
      </extLst>
    </cfRule>
  </conditionalFormatting>
  <conditionalFormatting sqref="G90">
    <cfRule type="dataBar" priority="6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{352BB8F3-AE50-4B2C-BDD6-F026FBE9419E}</x14:id>
        </ext>
      </extLst>
    </cfRule>
  </conditionalFormatting>
  <conditionalFormatting sqref="G89">
    <cfRule type="dataBar" priority="6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{63FE2045-ADD2-4663-877C-6ED7ABA0E480}</x14:id>
        </ext>
      </extLst>
    </cfRule>
  </conditionalFormatting>
  <conditionalFormatting sqref="G88">
    <cfRule type="dataBar" priority="6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{2441FA55-3326-446F-ACE7-06CB50C0E843}</x14:id>
        </ext>
      </extLst>
    </cfRule>
  </conditionalFormatting>
  <conditionalFormatting sqref="G87">
    <cfRule type="dataBar" priority="6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{E6BD96FB-5FCF-4046-8B49-844CE5AC17EC}</x14:id>
        </ext>
      </extLst>
    </cfRule>
  </conditionalFormatting>
  <conditionalFormatting sqref="G86">
    <cfRule type="dataBar" priority="6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{DF8E26A8-2534-4AEF-BC0C-E7EB324EC10C}</x14:id>
        </ext>
      </extLst>
    </cfRule>
  </conditionalFormatting>
  <conditionalFormatting sqref="G85">
    <cfRule type="dataBar" priority="5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{738F1FBF-96E2-411F-996D-7162A3A4ACCE}</x14:id>
        </ext>
      </extLst>
    </cfRule>
  </conditionalFormatting>
  <conditionalFormatting sqref="G84">
    <cfRule type="dataBar" priority="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{3051F952-19CA-4AEF-8CFE-1AFEA96E1AF6}</x14:id>
        </ext>
      </extLst>
    </cfRule>
  </conditionalFormatting>
  <conditionalFormatting sqref="G83">
    <cfRule type="dataBar" priority="5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{8FE70401-1367-4E87-8D5A-2D3F0A57D61B}</x14:id>
        </ext>
      </extLst>
    </cfRule>
  </conditionalFormatting>
  <conditionalFormatting sqref="G82">
    <cfRule type="dataBar" priority="5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{AA4CBECE-A4A1-4028-B714-46A0623D2200}</x14:id>
        </ext>
      </extLst>
    </cfRule>
  </conditionalFormatting>
  <conditionalFormatting sqref="G81">
    <cfRule type="dataBar" priority="5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{6D1BFFE9-DA2B-44DE-A4E0-F7EB257ABD3A}</x14:id>
        </ext>
      </extLst>
    </cfRule>
  </conditionalFormatting>
  <conditionalFormatting sqref="G80">
    <cfRule type="dataBar" priority="5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{3412C91B-3510-47E7-8464-7832CA4CA349}</x14:id>
        </ext>
      </extLst>
    </cfRule>
  </conditionalFormatting>
  <conditionalFormatting sqref="G79">
    <cfRule type="dataBar" priority="5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{3378E8BA-C08B-4DC0-AE3A-9859521FDE56}</x14:id>
        </ext>
      </extLst>
    </cfRule>
  </conditionalFormatting>
  <conditionalFormatting sqref="G78">
    <cfRule type="dataBar" priority="5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{51CF01A2-0BF3-4027-B863-D1D8D165F937}</x14:id>
        </ext>
      </extLst>
    </cfRule>
  </conditionalFormatting>
  <conditionalFormatting sqref="G77">
    <cfRule type="dataBar" priority="5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{71B58965-B4E6-4D73-A1BA-A20EB3D25E8B}</x14:id>
        </ext>
      </extLst>
    </cfRule>
  </conditionalFormatting>
  <conditionalFormatting sqref="G76">
    <cfRule type="dataBar" priority="5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{8BA430CA-807B-4259-B8B2-3791F1C62F8D}</x14:id>
        </ext>
      </extLst>
    </cfRule>
  </conditionalFormatting>
  <conditionalFormatting sqref="G75">
    <cfRule type="dataBar" priority="4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{0ADF3A0B-5D35-493B-B749-E7D9B4A4FCD4}</x14:id>
        </ext>
      </extLst>
    </cfRule>
  </conditionalFormatting>
  <conditionalFormatting sqref="G74">
    <cfRule type="dataBar" priority="4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{A9B11D75-0A61-4780-9472-4DEF12D1DCB6}</x14:id>
        </ext>
      </extLst>
    </cfRule>
  </conditionalFormatting>
  <conditionalFormatting sqref="G73">
    <cfRule type="dataBar" priority="4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{1C6415BE-215E-4664-96B2-E462A1A196EF}</x14:id>
        </ext>
      </extLst>
    </cfRule>
  </conditionalFormatting>
  <conditionalFormatting sqref="G72">
    <cfRule type="dataBar" priority="4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{9665D84F-A5E2-472B-99BA-FB21C95E404E}</x14:id>
        </ext>
      </extLst>
    </cfRule>
  </conditionalFormatting>
  <conditionalFormatting sqref="G71">
    <cfRule type="dataBar" priority="4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{CA5EC877-DB3F-4D11-A6AF-C359629FE16C}</x14:id>
        </ext>
      </extLst>
    </cfRule>
  </conditionalFormatting>
  <conditionalFormatting sqref="G70">
    <cfRule type="dataBar" priority="4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{5835FE70-6EED-4B58-90F9-7282CB762F32}</x14:id>
        </ext>
      </extLst>
    </cfRule>
  </conditionalFormatting>
  <conditionalFormatting sqref="G69">
    <cfRule type="dataBar" priority="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{31B92487-4D17-4E3D-83F8-E2032DA7A3BD}</x14:id>
        </ext>
      </extLst>
    </cfRule>
  </conditionalFormatting>
  <conditionalFormatting sqref="G68">
    <cfRule type="dataBar" priority="4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{9A782A54-28C6-4848-8750-C8B242C8D94D}</x14:id>
        </ext>
      </extLst>
    </cfRule>
  </conditionalFormatting>
  <conditionalFormatting sqref="G67">
    <cfRule type="dataBar" priority="4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{0E68505E-322B-42CF-B50F-D693EA004EC1}</x14:id>
        </ext>
      </extLst>
    </cfRule>
  </conditionalFormatting>
  <conditionalFormatting sqref="G66">
    <cfRule type="dataBar" priority="4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{539D2F5E-5241-4BE3-A90C-6B92F4D450E9}</x14:id>
        </ext>
      </extLst>
    </cfRule>
  </conditionalFormatting>
  <conditionalFormatting sqref="G65">
    <cfRule type="dataBar" priority="3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{BD24E7C1-5962-4D8A-8121-7157FBE1B0E4}</x14:id>
        </ext>
      </extLst>
    </cfRule>
  </conditionalFormatting>
  <conditionalFormatting sqref="G64">
    <cfRule type="dataBar" priority="3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{CB6299A8-162B-4E19-AD23-A6D1944BD48B}</x14:id>
        </ext>
      </extLst>
    </cfRule>
  </conditionalFormatting>
  <conditionalFormatting sqref="G63">
    <cfRule type="dataBar" priority="3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{5226661D-4C6F-4B98-9496-3DB73BB3AF0F}</x14:id>
        </ext>
      </extLst>
    </cfRule>
  </conditionalFormatting>
  <conditionalFormatting sqref="G62">
    <cfRule type="dataBar" priority="3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{C6AC45B4-B542-4112-A6B9-7228CDF02DA9}</x14:id>
        </ext>
      </extLst>
    </cfRule>
  </conditionalFormatting>
  <conditionalFormatting sqref="G61">
    <cfRule type="dataBar" priority="3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{27E3FE17-C8F5-4354-8EA7-9D8179FD1EFD}</x14:id>
        </ext>
      </extLst>
    </cfRule>
  </conditionalFormatting>
  <conditionalFormatting sqref="G60">
    <cfRule type="dataBar" priority="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{9D7493D4-4097-47B8-A564-F5A9120B76C6}</x14:id>
        </ext>
      </extLst>
    </cfRule>
  </conditionalFormatting>
  <conditionalFormatting sqref="G59">
    <cfRule type="dataBar" priority="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{4E202A7A-AB18-4076-8526-443C854A2C71}</x14:id>
        </ext>
      </extLst>
    </cfRule>
  </conditionalFormatting>
  <conditionalFormatting sqref="G58">
    <cfRule type="dataBar" priority="3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{01A42E35-5728-4ED3-AD8A-770480CE9F03}</x14:id>
        </ext>
      </extLst>
    </cfRule>
  </conditionalFormatting>
  <conditionalFormatting sqref="G57">
    <cfRule type="dataBar" priority="3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{E2A51252-DF58-4B6E-9E26-902FFED5ACD4}</x14:id>
        </ext>
      </extLst>
    </cfRule>
  </conditionalFormatting>
  <conditionalFormatting sqref="G56">
    <cfRule type="dataBar" priority="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{C3E310E1-623E-4360-8C46-765D3D1EB2FA}</x14:id>
        </ext>
      </extLst>
    </cfRule>
  </conditionalFormatting>
  <conditionalFormatting sqref="G55">
    <cfRule type="dataBar" priority="2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{F89A6765-2934-4DC4-9317-86043D901192}</x14:id>
        </ext>
      </extLst>
    </cfRule>
  </conditionalFormatting>
  <conditionalFormatting sqref="G54">
    <cfRule type="dataBar" priority="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{36F91DC7-CA19-4601-83FC-CDFFE5150BD3}</x14:id>
        </ext>
      </extLst>
    </cfRule>
  </conditionalFormatting>
  <conditionalFormatting sqref="G53">
    <cfRule type="dataBar" priority="2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{CFACE7D4-8438-4DF9-BFD7-8D7E04AD73A8}</x14:id>
        </ext>
      </extLst>
    </cfRule>
  </conditionalFormatting>
  <conditionalFormatting sqref="G52">
    <cfRule type="dataBar" priority="2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{F287C9F3-E036-4C4D-85A8-1DFEDD3C740B}</x14:id>
        </ext>
      </extLst>
    </cfRule>
  </conditionalFormatting>
  <conditionalFormatting sqref="G51">
    <cfRule type="dataBar" priority="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{AEE94937-8B1B-4651-9583-F5A50337F197}</x14:id>
        </ext>
      </extLst>
    </cfRule>
  </conditionalFormatting>
  <conditionalFormatting sqref="G50">
    <cfRule type="dataBar" priority="2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{C5078AB9-D039-4D80-8D93-237FF59B7DD1}</x14:id>
        </ext>
      </extLst>
    </cfRule>
  </conditionalFormatting>
  <conditionalFormatting sqref="G49">
    <cfRule type="dataBar" priority="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{C7B1FCEC-530B-4A3E-BBEF-4A8CDA4678B6}</x14:id>
        </ext>
      </extLst>
    </cfRule>
  </conditionalFormatting>
  <conditionalFormatting sqref="G48">
    <cfRule type="dataBar" priority="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{B86F0A7C-160B-43D9-B8CA-B516F3810769}</x14:id>
        </ext>
      </extLst>
    </cfRule>
  </conditionalFormatting>
  <conditionalFormatting sqref="G47">
    <cfRule type="dataBar" priority="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{6C12EB14-DC45-4DB5-9970-E47D22D62C89}</x14:id>
        </ext>
      </extLst>
    </cfRule>
  </conditionalFormatting>
  <conditionalFormatting sqref="G46">
    <cfRule type="dataBar" priority="2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{D5CDDECC-61F3-45D9-88CF-304722303C39}</x14:id>
        </ext>
      </extLst>
    </cfRule>
  </conditionalFormatting>
  <conditionalFormatting sqref="G45">
    <cfRule type="dataBar" priority="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{97F6A05E-2970-462A-96A7-A07EB5278E85}</x14:id>
        </ext>
      </extLst>
    </cfRule>
  </conditionalFormatting>
  <conditionalFormatting sqref="G44">
    <cfRule type="dataBar" priority="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{B2E78D57-2A84-4455-9D8D-E9EE3BEE7BA0}</x14:id>
        </ext>
      </extLst>
    </cfRule>
  </conditionalFormatting>
  <conditionalFormatting sqref="G43">
    <cfRule type="dataBar" priority="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{DED56B9E-6332-4CB1-BB58-6B6EFA44FCC5}</x14:id>
        </ext>
      </extLst>
    </cfRule>
  </conditionalFormatting>
  <conditionalFormatting sqref="G42">
    <cfRule type="dataBar" priority="1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{D72712FB-FD9C-46F4-A4E0-2DA51069C518}</x14:id>
        </ext>
      </extLst>
    </cfRule>
  </conditionalFormatting>
  <conditionalFormatting sqref="G41">
    <cfRule type="dataBar" priority="1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{B14BEA5B-342A-4268-89AD-AAA0559283AC}</x14:id>
        </ext>
      </extLst>
    </cfRule>
  </conditionalFormatting>
  <conditionalFormatting sqref="G40">
    <cfRule type="dataBar" priority="1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{2A067331-24EE-4B1A-A04C-53CEB32CAD54}</x14:id>
        </ext>
      </extLst>
    </cfRule>
  </conditionalFormatting>
  <conditionalFormatting sqref="G39">
    <cfRule type="dataBar" priority="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{00D3E743-3588-476A-B3AA-136EF07A4779}</x14:id>
        </ext>
      </extLst>
    </cfRule>
  </conditionalFormatting>
  <conditionalFormatting sqref="G38">
    <cfRule type="dataBar" priority="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{2F935855-81ED-4935-8E11-C3FC03CB8AF9}</x14:id>
        </ext>
      </extLst>
    </cfRule>
  </conditionalFormatting>
  <conditionalFormatting sqref="G37">
    <cfRule type="dataBar" priority="1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{06BB1F35-337D-4B28-8AE1-F0D483DEF7EC}</x14:id>
        </ext>
      </extLst>
    </cfRule>
  </conditionalFormatting>
  <conditionalFormatting sqref="G36">
    <cfRule type="dataBar" priority="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{67E4F8E5-3B46-4295-9D87-D16F5962791F}</x14:id>
        </ext>
      </extLst>
    </cfRule>
  </conditionalFormatting>
  <conditionalFormatting sqref="G35">
    <cfRule type="dataBar" priority="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{2B0C435E-B233-491E-A017-105DABCF0943}</x14:id>
        </ext>
      </extLst>
    </cfRule>
  </conditionalFormatting>
  <conditionalFormatting sqref="G34">
    <cfRule type="dataBar" priority="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{62589D35-089D-4D8E-A082-5F2C2BAF85BF}</x14:id>
        </ext>
      </extLst>
    </cfRule>
  </conditionalFormatting>
  <conditionalFormatting sqref="G33">
    <cfRule type="dataBar" priority="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{1340CC17-17D2-4EC5-8B9D-94E80DD78013}</x14:id>
        </ext>
      </extLst>
    </cfRule>
  </conditionalFormatting>
  <conditionalFormatting sqref="G32">
    <cfRule type="dataBar" priority="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{8D8265CE-8F30-4C6C-BBCC-6B35909D8B82}</x14:id>
        </ext>
      </extLst>
    </cfRule>
  </conditionalFormatting>
  <conditionalFormatting sqref="G31">
    <cfRule type="dataBar" priority="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{C84BCE71-D9CC-49A2-A362-4E00A9C679BA}</x14:id>
        </ext>
      </extLst>
    </cfRule>
  </conditionalFormatting>
  <conditionalFormatting sqref="G30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{0C8C4514-6C33-408F-8379-8E02A3F3B832}</x14:id>
        </ext>
      </extLst>
    </cfRule>
  </conditionalFormatting>
  <conditionalFormatting sqref="G29">
    <cfRule type="dataBar" priority="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{BE649F16-BADB-4004-B28B-676DC09B21D9}</x14:id>
        </ext>
      </extLst>
    </cfRule>
  </conditionalFormatting>
  <conditionalFormatting sqref="G28">
    <cfRule type="dataBar" priority="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{2C5071C8-19E2-4EB4-9602-0CBD2FC5F9B6}</x14:id>
        </ext>
      </extLst>
    </cfRule>
  </conditionalFormatting>
  <conditionalFormatting sqref="G27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{A831CB56-CA66-41E8-A972-59045D9AC770}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Summary">
                <anchor moveWithCells="1" sizeWithCells="1">
                  <from>
                    <xdr:col>8</xdr:col>
                    <xdr:colOff>314325</xdr:colOff>
                    <xdr:row>0</xdr:row>
                    <xdr:rowOff>57150</xdr:rowOff>
                  </from>
                  <to>
                    <xdr:col>9</xdr:col>
                    <xdr:colOff>542925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Button 2">
              <controlPr defaultSize="0" print="0" autoFill="0" autoPict="0" macro="[0]!final_Save">
                <anchor moveWithCells="1" sizeWithCells="1">
                  <from>
                    <xdr:col>9</xdr:col>
                    <xdr:colOff>638175</xdr:colOff>
                    <xdr:row>0</xdr:row>
                    <xdr:rowOff>57150</xdr:rowOff>
                  </from>
                  <to>
                    <xdr:col>11</xdr:col>
                    <xdr:colOff>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Button 3">
              <controlPr defaultSize="0" print="0" autoFill="0" autoPict="0" macro="[0]!clear_a1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3</xdr:col>
                    <xdr:colOff>209550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DE39B3-468D-43DE-BDBD-C746442336D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H21</xm:sqref>
        </x14:conditionalFormatting>
        <x14:conditionalFormatting xmlns:xm="http://schemas.microsoft.com/office/excel/2006/main">
          <x14:cfRule type="dataBar" id="{8CC3BF74-FC36-4D06-A513-41987549EF00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E21</xm:sqref>
        </x14:conditionalFormatting>
        <x14:conditionalFormatting xmlns:xm="http://schemas.microsoft.com/office/excel/2006/main">
          <x14:cfRule type="dataBar" id="{890BEA2D-12CE-42BA-B01C-D7B30F44DC2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K21</xm:sqref>
        </x14:conditionalFormatting>
        <x14:conditionalFormatting xmlns:xm="http://schemas.microsoft.com/office/excel/2006/main">
          <x14:cfRule type="dataBar" id="{DED60476-6667-4A07-BB30-919C8D88EBC0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G26</xm:sqref>
        </x14:conditionalFormatting>
        <x14:conditionalFormatting xmlns:xm="http://schemas.microsoft.com/office/excel/2006/main">
          <x14:cfRule type="dataBar" id="{1F5FA4D8-4F11-4E58-AB9C-0424229F93C8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G100</xm:sqref>
        </x14:conditionalFormatting>
        <x14:conditionalFormatting xmlns:xm="http://schemas.microsoft.com/office/excel/2006/main">
          <x14:cfRule type="dataBar" id="{0022038F-F276-4B63-AD92-1885E44BA408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G99</xm:sqref>
        </x14:conditionalFormatting>
        <x14:conditionalFormatting xmlns:xm="http://schemas.microsoft.com/office/excel/2006/main">
          <x14:cfRule type="dataBar" id="{B7007208-0B1E-4AF7-9529-CC9D92CFB06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G98</xm:sqref>
        </x14:conditionalFormatting>
        <x14:conditionalFormatting xmlns:xm="http://schemas.microsoft.com/office/excel/2006/main">
          <x14:cfRule type="dataBar" id="{72CCB80E-A5B2-4436-B361-BEFB0C7D4646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G97</xm:sqref>
        </x14:conditionalFormatting>
        <x14:conditionalFormatting xmlns:xm="http://schemas.microsoft.com/office/excel/2006/main">
          <x14:cfRule type="dataBar" id="{29C49294-AED6-479E-B7A6-FD15F524BAC1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G96</xm:sqref>
        </x14:conditionalFormatting>
        <x14:conditionalFormatting xmlns:xm="http://schemas.microsoft.com/office/excel/2006/main">
          <x14:cfRule type="dataBar" id="{07432648-9AD3-4632-8B01-927F0EAE00C8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G95</xm:sqref>
        </x14:conditionalFormatting>
        <x14:conditionalFormatting xmlns:xm="http://schemas.microsoft.com/office/excel/2006/main">
          <x14:cfRule type="dataBar" id="{C8FDB071-A296-4B6B-8CB0-E5187AF25F75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G94</xm:sqref>
        </x14:conditionalFormatting>
        <x14:conditionalFormatting xmlns:xm="http://schemas.microsoft.com/office/excel/2006/main">
          <x14:cfRule type="dataBar" id="{B40E74BE-4A85-4227-8D25-35081C43D297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G93</xm:sqref>
        </x14:conditionalFormatting>
        <x14:conditionalFormatting xmlns:xm="http://schemas.microsoft.com/office/excel/2006/main">
          <x14:cfRule type="dataBar" id="{F33B6C5C-6846-4E94-94D4-1E744CD2F6C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G92</xm:sqref>
        </x14:conditionalFormatting>
        <x14:conditionalFormatting xmlns:xm="http://schemas.microsoft.com/office/excel/2006/main">
          <x14:cfRule type="dataBar" id="{FC238B2F-5B4F-4FF3-9A6C-F8FECABF7F2A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G91</xm:sqref>
        </x14:conditionalFormatting>
        <x14:conditionalFormatting xmlns:xm="http://schemas.microsoft.com/office/excel/2006/main">
          <x14:cfRule type="dataBar" id="{352BB8F3-AE50-4B2C-BDD6-F026FBE9419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G90</xm:sqref>
        </x14:conditionalFormatting>
        <x14:conditionalFormatting xmlns:xm="http://schemas.microsoft.com/office/excel/2006/main">
          <x14:cfRule type="dataBar" id="{63FE2045-ADD2-4663-877C-6ED7ABA0E480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G89</xm:sqref>
        </x14:conditionalFormatting>
        <x14:conditionalFormatting xmlns:xm="http://schemas.microsoft.com/office/excel/2006/main">
          <x14:cfRule type="dataBar" id="{2441FA55-3326-446F-ACE7-06CB50C0E84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G88</xm:sqref>
        </x14:conditionalFormatting>
        <x14:conditionalFormatting xmlns:xm="http://schemas.microsoft.com/office/excel/2006/main">
          <x14:cfRule type="dataBar" id="{E6BD96FB-5FCF-4046-8B49-844CE5AC17EC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G87</xm:sqref>
        </x14:conditionalFormatting>
        <x14:conditionalFormatting xmlns:xm="http://schemas.microsoft.com/office/excel/2006/main">
          <x14:cfRule type="dataBar" id="{DF8E26A8-2534-4AEF-BC0C-E7EB324EC10C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G86</xm:sqref>
        </x14:conditionalFormatting>
        <x14:conditionalFormatting xmlns:xm="http://schemas.microsoft.com/office/excel/2006/main">
          <x14:cfRule type="dataBar" id="{738F1FBF-96E2-411F-996D-7162A3A4ACC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G85</xm:sqref>
        </x14:conditionalFormatting>
        <x14:conditionalFormatting xmlns:xm="http://schemas.microsoft.com/office/excel/2006/main">
          <x14:cfRule type="dataBar" id="{3051F952-19CA-4AEF-8CFE-1AFEA96E1AF6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G84</xm:sqref>
        </x14:conditionalFormatting>
        <x14:conditionalFormatting xmlns:xm="http://schemas.microsoft.com/office/excel/2006/main">
          <x14:cfRule type="dataBar" id="{8FE70401-1367-4E87-8D5A-2D3F0A57D61B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G83</xm:sqref>
        </x14:conditionalFormatting>
        <x14:conditionalFormatting xmlns:xm="http://schemas.microsoft.com/office/excel/2006/main">
          <x14:cfRule type="dataBar" id="{AA4CBECE-A4A1-4028-B714-46A0623D2200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G82</xm:sqref>
        </x14:conditionalFormatting>
        <x14:conditionalFormatting xmlns:xm="http://schemas.microsoft.com/office/excel/2006/main">
          <x14:cfRule type="dataBar" id="{6D1BFFE9-DA2B-44DE-A4E0-F7EB257ABD3A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G81</xm:sqref>
        </x14:conditionalFormatting>
        <x14:conditionalFormatting xmlns:xm="http://schemas.microsoft.com/office/excel/2006/main">
          <x14:cfRule type="dataBar" id="{3412C91B-3510-47E7-8464-7832CA4CA349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G80</xm:sqref>
        </x14:conditionalFormatting>
        <x14:conditionalFormatting xmlns:xm="http://schemas.microsoft.com/office/excel/2006/main">
          <x14:cfRule type="dataBar" id="{3378E8BA-C08B-4DC0-AE3A-9859521FDE56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G79</xm:sqref>
        </x14:conditionalFormatting>
        <x14:conditionalFormatting xmlns:xm="http://schemas.microsoft.com/office/excel/2006/main">
          <x14:cfRule type="dataBar" id="{51CF01A2-0BF3-4027-B863-D1D8D165F937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G78</xm:sqref>
        </x14:conditionalFormatting>
        <x14:conditionalFormatting xmlns:xm="http://schemas.microsoft.com/office/excel/2006/main">
          <x14:cfRule type="dataBar" id="{71B58965-B4E6-4D73-A1BA-A20EB3D25E8B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G77</xm:sqref>
        </x14:conditionalFormatting>
        <x14:conditionalFormatting xmlns:xm="http://schemas.microsoft.com/office/excel/2006/main">
          <x14:cfRule type="dataBar" id="{8BA430CA-807B-4259-B8B2-3791F1C62F8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G76</xm:sqref>
        </x14:conditionalFormatting>
        <x14:conditionalFormatting xmlns:xm="http://schemas.microsoft.com/office/excel/2006/main">
          <x14:cfRule type="dataBar" id="{0ADF3A0B-5D35-493B-B749-E7D9B4A4FCD4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G75</xm:sqref>
        </x14:conditionalFormatting>
        <x14:conditionalFormatting xmlns:xm="http://schemas.microsoft.com/office/excel/2006/main">
          <x14:cfRule type="dataBar" id="{A9B11D75-0A61-4780-9472-4DEF12D1DCB6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G74</xm:sqref>
        </x14:conditionalFormatting>
        <x14:conditionalFormatting xmlns:xm="http://schemas.microsoft.com/office/excel/2006/main">
          <x14:cfRule type="dataBar" id="{1C6415BE-215E-4664-96B2-E462A1A196EF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G73</xm:sqref>
        </x14:conditionalFormatting>
        <x14:conditionalFormatting xmlns:xm="http://schemas.microsoft.com/office/excel/2006/main">
          <x14:cfRule type="dataBar" id="{9665D84F-A5E2-472B-99BA-FB21C95E404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G72</xm:sqref>
        </x14:conditionalFormatting>
        <x14:conditionalFormatting xmlns:xm="http://schemas.microsoft.com/office/excel/2006/main">
          <x14:cfRule type="dataBar" id="{CA5EC877-DB3F-4D11-A6AF-C359629FE16C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G71</xm:sqref>
        </x14:conditionalFormatting>
        <x14:conditionalFormatting xmlns:xm="http://schemas.microsoft.com/office/excel/2006/main">
          <x14:cfRule type="dataBar" id="{5835FE70-6EED-4B58-90F9-7282CB762F3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G70</xm:sqref>
        </x14:conditionalFormatting>
        <x14:conditionalFormatting xmlns:xm="http://schemas.microsoft.com/office/excel/2006/main">
          <x14:cfRule type="dataBar" id="{31B92487-4D17-4E3D-83F8-E2032DA7A3B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G69</xm:sqref>
        </x14:conditionalFormatting>
        <x14:conditionalFormatting xmlns:xm="http://schemas.microsoft.com/office/excel/2006/main">
          <x14:cfRule type="dataBar" id="{9A782A54-28C6-4848-8750-C8B242C8D94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G68</xm:sqref>
        </x14:conditionalFormatting>
        <x14:conditionalFormatting xmlns:xm="http://schemas.microsoft.com/office/excel/2006/main">
          <x14:cfRule type="dataBar" id="{0E68505E-322B-42CF-B50F-D693EA004EC1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G67</xm:sqref>
        </x14:conditionalFormatting>
        <x14:conditionalFormatting xmlns:xm="http://schemas.microsoft.com/office/excel/2006/main">
          <x14:cfRule type="dataBar" id="{539D2F5E-5241-4BE3-A90C-6B92F4D450E9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G66</xm:sqref>
        </x14:conditionalFormatting>
        <x14:conditionalFormatting xmlns:xm="http://schemas.microsoft.com/office/excel/2006/main">
          <x14:cfRule type="dataBar" id="{BD24E7C1-5962-4D8A-8121-7157FBE1B0E4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G65</xm:sqref>
        </x14:conditionalFormatting>
        <x14:conditionalFormatting xmlns:xm="http://schemas.microsoft.com/office/excel/2006/main">
          <x14:cfRule type="dataBar" id="{CB6299A8-162B-4E19-AD23-A6D1944BD48B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G64</xm:sqref>
        </x14:conditionalFormatting>
        <x14:conditionalFormatting xmlns:xm="http://schemas.microsoft.com/office/excel/2006/main">
          <x14:cfRule type="dataBar" id="{5226661D-4C6F-4B98-9496-3DB73BB3AF0F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G63</xm:sqref>
        </x14:conditionalFormatting>
        <x14:conditionalFormatting xmlns:xm="http://schemas.microsoft.com/office/excel/2006/main">
          <x14:cfRule type="dataBar" id="{C6AC45B4-B542-4112-A6B9-7228CDF02DA9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G62</xm:sqref>
        </x14:conditionalFormatting>
        <x14:conditionalFormatting xmlns:xm="http://schemas.microsoft.com/office/excel/2006/main">
          <x14:cfRule type="dataBar" id="{27E3FE17-C8F5-4354-8EA7-9D8179FD1EF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G61</xm:sqref>
        </x14:conditionalFormatting>
        <x14:conditionalFormatting xmlns:xm="http://schemas.microsoft.com/office/excel/2006/main">
          <x14:cfRule type="dataBar" id="{9D7493D4-4097-47B8-A564-F5A9120B76C6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G60</xm:sqref>
        </x14:conditionalFormatting>
        <x14:conditionalFormatting xmlns:xm="http://schemas.microsoft.com/office/excel/2006/main">
          <x14:cfRule type="dataBar" id="{4E202A7A-AB18-4076-8526-443C854A2C71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G59</xm:sqref>
        </x14:conditionalFormatting>
        <x14:conditionalFormatting xmlns:xm="http://schemas.microsoft.com/office/excel/2006/main">
          <x14:cfRule type="dataBar" id="{01A42E35-5728-4ED3-AD8A-770480CE9F0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G58</xm:sqref>
        </x14:conditionalFormatting>
        <x14:conditionalFormatting xmlns:xm="http://schemas.microsoft.com/office/excel/2006/main">
          <x14:cfRule type="dataBar" id="{E2A51252-DF58-4B6E-9E26-902FFED5ACD4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G57</xm:sqref>
        </x14:conditionalFormatting>
        <x14:conditionalFormatting xmlns:xm="http://schemas.microsoft.com/office/excel/2006/main">
          <x14:cfRule type="dataBar" id="{C3E310E1-623E-4360-8C46-765D3D1EB2FA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G56</xm:sqref>
        </x14:conditionalFormatting>
        <x14:conditionalFormatting xmlns:xm="http://schemas.microsoft.com/office/excel/2006/main">
          <x14:cfRule type="dataBar" id="{F89A6765-2934-4DC4-9317-86043D90119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G55</xm:sqref>
        </x14:conditionalFormatting>
        <x14:conditionalFormatting xmlns:xm="http://schemas.microsoft.com/office/excel/2006/main">
          <x14:cfRule type="dataBar" id="{36F91DC7-CA19-4601-83FC-CDFFE5150BD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G54</xm:sqref>
        </x14:conditionalFormatting>
        <x14:conditionalFormatting xmlns:xm="http://schemas.microsoft.com/office/excel/2006/main">
          <x14:cfRule type="dataBar" id="{CFACE7D4-8438-4DF9-BFD7-8D7E04AD73A8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G53</xm:sqref>
        </x14:conditionalFormatting>
        <x14:conditionalFormatting xmlns:xm="http://schemas.microsoft.com/office/excel/2006/main">
          <x14:cfRule type="dataBar" id="{F287C9F3-E036-4C4D-85A8-1DFEDD3C740B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G52</xm:sqref>
        </x14:conditionalFormatting>
        <x14:conditionalFormatting xmlns:xm="http://schemas.microsoft.com/office/excel/2006/main">
          <x14:cfRule type="dataBar" id="{AEE94937-8B1B-4651-9583-F5A50337F197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G51</xm:sqref>
        </x14:conditionalFormatting>
        <x14:conditionalFormatting xmlns:xm="http://schemas.microsoft.com/office/excel/2006/main">
          <x14:cfRule type="dataBar" id="{C5078AB9-D039-4D80-8D93-237FF59B7DD1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G50</xm:sqref>
        </x14:conditionalFormatting>
        <x14:conditionalFormatting xmlns:xm="http://schemas.microsoft.com/office/excel/2006/main">
          <x14:cfRule type="dataBar" id="{C7B1FCEC-530B-4A3E-BBEF-4A8CDA4678B6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G49</xm:sqref>
        </x14:conditionalFormatting>
        <x14:conditionalFormatting xmlns:xm="http://schemas.microsoft.com/office/excel/2006/main">
          <x14:cfRule type="dataBar" id="{B86F0A7C-160B-43D9-B8CA-B516F3810769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G48</xm:sqref>
        </x14:conditionalFormatting>
        <x14:conditionalFormatting xmlns:xm="http://schemas.microsoft.com/office/excel/2006/main">
          <x14:cfRule type="dataBar" id="{6C12EB14-DC45-4DB5-9970-E47D22D62C89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G47</xm:sqref>
        </x14:conditionalFormatting>
        <x14:conditionalFormatting xmlns:xm="http://schemas.microsoft.com/office/excel/2006/main">
          <x14:cfRule type="dataBar" id="{D5CDDECC-61F3-45D9-88CF-304722303C39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G46</xm:sqref>
        </x14:conditionalFormatting>
        <x14:conditionalFormatting xmlns:xm="http://schemas.microsoft.com/office/excel/2006/main">
          <x14:cfRule type="dataBar" id="{97F6A05E-2970-462A-96A7-A07EB5278E85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G45</xm:sqref>
        </x14:conditionalFormatting>
        <x14:conditionalFormatting xmlns:xm="http://schemas.microsoft.com/office/excel/2006/main">
          <x14:cfRule type="dataBar" id="{B2E78D57-2A84-4455-9D8D-E9EE3BEE7BA0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G44</xm:sqref>
        </x14:conditionalFormatting>
        <x14:conditionalFormatting xmlns:xm="http://schemas.microsoft.com/office/excel/2006/main">
          <x14:cfRule type="dataBar" id="{DED56B9E-6332-4CB1-BB58-6B6EFA44FCC5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G43</xm:sqref>
        </x14:conditionalFormatting>
        <x14:conditionalFormatting xmlns:xm="http://schemas.microsoft.com/office/excel/2006/main">
          <x14:cfRule type="dataBar" id="{D72712FB-FD9C-46F4-A4E0-2DA51069C518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G42</xm:sqref>
        </x14:conditionalFormatting>
        <x14:conditionalFormatting xmlns:xm="http://schemas.microsoft.com/office/excel/2006/main">
          <x14:cfRule type="dataBar" id="{B14BEA5B-342A-4268-89AD-AAA0559283AC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G41</xm:sqref>
        </x14:conditionalFormatting>
        <x14:conditionalFormatting xmlns:xm="http://schemas.microsoft.com/office/excel/2006/main">
          <x14:cfRule type="dataBar" id="{2A067331-24EE-4B1A-A04C-53CEB32CAD54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G40</xm:sqref>
        </x14:conditionalFormatting>
        <x14:conditionalFormatting xmlns:xm="http://schemas.microsoft.com/office/excel/2006/main">
          <x14:cfRule type="dataBar" id="{00D3E743-3588-476A-B3AA-136EF07A4779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G39</xm:sqref>
        </x14:conditionalFormatting>
        <x14:conditionalFormatting xmlns:xm="http://schemas.microsoft.com/office/excel/2006/main">
          <x14:cfRule type="dataBar" id="{2F935855-81ED-4935-8E11-C3FC03CB8AF9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G38</xm:sqref>
        </x14:conditionalFormatting>
        <x14:conditionalFormatting xmlns:xm="http://schemas.microsoft.com/office/excel/2006/main">
          <x14:cfRule type="dataBar" id="{06BB1F35-337D-4B28-8AE1-F0D483DEF7EC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G37</xm:sqref>
        </x14:conditionalFormatting>
        <x14:conditionalFormatting xmlns:xm="http://schemas.microsoft.com/office/excel/2006/main">
          <x14:cfRule type="dataBar" id="{67E4F8E5-3B46-4295-9D87-D16F5962791F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G36</xm:sqref>
        </x14:conditionalFormatting>
        <x14:conditionalFormatting xmlns:xm="http://schemas.microsoft.com/office/excel/2006/main">
          <x14:cfRule type="dataBar" id="{2B0C435E-B233-491E-A017-105DABCF094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G35</xm:sqref>
        </x14:conditionalFormatting>
        <x14:conditionalFormatting xmlns:xm="http://schemas.microsoft.com/office/excel/2006/main">
          <x14:cfRule type="dataBar" id="{62589D35-089D-4D8E-A082-5F2C2BAF85BF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G34</xm:sqref>
        </x14:conditionalFormatting>
        <x14:conditionalFormatting xmlns:xm="http://schemas.microsoft.com/office/excel/2006/main">
          <x14:cfRule type="dataBar" id="{1340CC17-17D2-4EC5-8B9D-94E80DD7801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G33</xm:sqref>
        </x14:conditionalFormatting>
        <x14:conditionalFormatting xmlns:xm="http://schemas.microsoft.com/office/excel/2006/main">
          <x14:cfRule type="dataBar" id="{8D8265CE-8F30-4C6C-BBCC-6B35909D8B8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G32</xm:sqref>
        </x14:conditionalFormatting>
        <x14:conditionalFormatting xmlns:xm="http://schemas.microsoft.com/office/excel/2006/main">
          <x14:cfRule type="dataBar" id="{C84BCE71-D9CC-49A2-A362-4E00A9C679BA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G31</xm:sqref>
        </x14:conditionalFormatting>
        <x14:conditionalFormatting xmlns:xm="http://schemas.microsoft.com/office/excel/2006/main">
          <x14:cfRule type="dataBar" id="{0C8C4514-6C33-408F-8379-8E02A3F3B83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G30</xm:sqref>
        </x14:conditionalFormatting>
        <x14:conditionalFormatting xmlns:xm="http://schemas.microsoft.com/office/excel/2006/main">
          <x14:cfRule type="dataBar" id="{BE649F16-BADB-4004-B28B-676DC09B21D9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G29</xm:sqref>
        </x14:conditionalFormatting>
        <x14:conditionalFormatting xmlns:xm="http://schemas.microsoft.com/office/excel/2006/main">
          <x14:cfRule type="dataBar" id="{2C5071C8-19E2-4EB4-9602-0CBD2FC5F9B6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G28</xm:sqref>
        </x14:conditionalFormatting>
        <x14:conditionalFormatting xmlns:xm="http://schemas.microsoft.com/office/excel/2006/main">
          <x14:cfRule type="dataBar" id="{A831CB56-CA66-41E8-A972-59045D9AC770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M41"/>
  <sheetViews>
    <sheetView showGridLines="0" workbookViewId="0">
      <selection activeCell="D24" sqref="D24"/>
    </sheetView>
  </sheetViews>
  <sheetFormatPr defaultColWidth="11.28515625" defaultRowHeight="15" customHeight="1" x14ac:dyDescent="0.2"/>
  <cols>
    <col min="1" max="1" width="1.42578125" style="64" customWidth="1"/>
    <col min="2" max="2" width="10.28515625" style="65" customWidth="1"/>
    <col min="3" max="3" width="16.85546875" style="64" customWidth="1"/>
    <col min="4" max="6" width="8.42578125" style="64" customWidth="1"/>
    <col min="7" max="8" width="51.42578125" style="64" customWidth="1"/>
    <col min="9" max="9" width="11.7109375" style="65" customWidth="1"/>
    <col min="10" max="10" width="44.42578125" style="64" customWidth="1"/>
    <col min="11" max="11" width="15" style="64" customWidth="1"/>
    <col min="12" max="12" width="22.5703125" style="64" customWidth="1"/>
    <col min="13" max="13" width="1.42578125" style="64" customWidth="1"/>
    <col min="14" max="16384" width="11.28515625" style="64"/>
  </cols>
  <sheetData>
    <row r="1" spans="1:13" ht="10.5" customHeight="1" x14ac:dyDescent="0.2"/>
    <row r="2" spans="1:13" ht="15" customHeight="1" x14ac:dyDescent="0.2">
      <c r="A2" s="66"/>
      <c r="B2" s="67" t="s">
        <v>51</v>
      </c>
      <c r="C2" s="68" t="s">
        <v>50</v>
      </c>
      <c r="D2" s="66"/>
      <c r="E2" s="66"/>
      <c r="F2" s="66"/>
      <c r="G2" s="66"/>
      <c r="H2" s="66"/>
      <c r="I2" s="69"/>
      <c r="J2" s="66"/>
      <c r="K2" s="66"/>
      <c r="L2" s="66"/>
    </row>
    <row r="3" spans="1:13" ht="15" customHeight="1" x14ac:dyDescent="0.2">
      <c r="B3" s="132" t="s">
        <v>49</v>
      </c>
      <c r="C3" s="70"/>
      <c r="D3" s="71" t="s">
        <v>1</v>
      </c>
      <c r="E3" s="72" t="s">
        <v>42</v>
      </c>
    </row>
    <row r="4" spans="1:13" ht="15" customHeight="1" x14ac:dyDescent="0.2">
      <c r="B4" s="133"/>
      <c r="C4" s="73">
        <f>IFERROR(SUM(C5:C8),"")</f>
        <v>28</v>
      </c>
      <c r="D4" s="74">
        <f>IFERROR(SUM(D5:D8),"")</f>
        <v>28</v>
      </c>
      <c r="E4" s="75">
        <f>IFERROR(SUM(E5:E8),"")</f>
        <v>0</v>
      </c>
    </row>
    <row r="5" spans="1:13" ht="15" customHeight="1" x14ac:dyDescent="0.2">
      <c r="B5" s="76" t="s">
        <v>48</v>
      </c>
      <c r="C5" s="73">
        <f>IFERROR(SUM(D5:E5),"")</f>
        <v>27</v>
      </c>
      <c r="D5" s="74">
        <f>IFERROR(SUM(COUNTIFS(B:B,"Function",I:I,"Pass")),"")</f>
        <v>27</v>
      </c>
      <c r="E5" s="75">
        <f>IFERROR(SUM(COUNTIFS(B:B,"Data",I:I,"Pass")),"")</f>
        <v>0</v>
      </c>
      <c r="K5" s="77" t="s">
        <v>59</v>
      </c>
      <c r="L5" s="78"/>
    </row>
    <row r="6" spans="1:13" ht="15" customHeight="1" x14ac:dyDescent="0.2">
      <c r="B6" s="79" t="s">
        <v>6</v>
      </c>
      <c r="C6" s="73">
        <f>IFERROR(SUM(D6:E6),"")</f>
        <v>1</v>
      </c>
      <c r="D6" s="74">
        <f>IFERROR(SUM(COUNTIFS(B:B,"Function",I:I,"Fail")),"")</f>
        <v>1</v>
      </c>
      <c r="E6" s="75">
        <f>IFERROR(SUM(COUNTIFS(B:B,"Data",I:I,"Fail")),"")</f>
        <v>0</v>
      </c>
      <c r="K6" s="77" t="s">
        <v>60</v>
      </c>
      <c r="L6" s="78"/>
    </row>
    <row r="7" spans="1:13" ht="15" customHeight="1" x14ac:dyDescent="0.2">
      <c r="B7" s="80" t="s">
        <v>3</v>
      </c>
      <c r="C7" s="73">
        <f>IFERROR(SUM(D7:E7),"")</f>
        <v>0</v>
      </c>
      <c r="D7" s="74">
        <f>IFERROR(SUM(COUNTIFS(B:B,"Function",I:I,"N/A")),"")</f>
        <v>0</v>
      </c>
      <c r="E7" s="75">
        <f>IFERROR(SUM(COUNTIFS(B:B,"Data",I:I,"N/A")),"")</f>
        <v>0</v>
      </c>
      <c r="K7" s="77" t="s">
        <v>61</v>
      </c>
      <c r="L7" s="78"/>
    </row>
    <row r="8" spans="1:13" ht="15" customHeight="1" x14ac:dyDescent="0.2">
      <c r="B8" s="81" t="s">
        <v>48</v>
      </c>
      <c r="C8" s="73">
        <f>IFERROR(SUM(D8:E8),"")</f>
        <v>0</v>
      </c>
      <c r="D8" s="74">
        <f>IFERROR(SUM(COUNTIFS(B:B,"Function",I:I,"N/T")),"")</f>
        <v>0</v>
      </c>
      <c r="E8" s="75">
        <f>IFERROR(SUM(COUNTIFS(B:B,"Data",I:I,"N/T")),"")</f>
        <v>0</v>
      </c>
    </row>
    <row r="9" spans="1:13" ht="15" customHeight="1" x14ac:dyDescent="0.2">
      <c r="B9" s="80" t="s">
        <v>47</v>
      </c>
      <c r="C9" s="82">
        <f>IFERROR((C5+C6)/C4,0)</f>
        <v>1</v>
      </c>
      <c r="D9" s="83">
        <f>IFERROR((D5+D6)/D4,0)</f>
        <v>1</v>
      </c>
      <c r="E9" s="84">
        <f>IFERROR((E5+E6)/E4,0)</f>
        <v>0</v>
      </c>
    </row>
    <row r="11" spans="1:13" ht="15" customHeight="1" x14ac:dyDescent="0.2">
      <c r="A11" s="66"/>
      <c r="B11" s="67" t="s">
        <v>46</v>
      </c>
      <c r="C11" s="68" t="s">
        <v>62</v>
      </c>
      <c r="D11" s="85"/>
      <c r="E11" s="85"/>
      <c r="F11" s="85"/>
      <c r="G11" s="85"/>
      <c r="H11" s="85"/>
      <c r="I11" s="86"/>
      <c r="J11" s="85"/>
      <c r="K11" s="85"/>
      <c r="L11" s="85"/>
    </row>
    <row r="12" spans="1:13" s="95" customFormat="1" ht="12" x14ac:dyDescent="0.2">
      <c r="A12" s="93"/>
      <c r="B12" s="87" t="s">
        <v>45</v>
      </c>
      <c r="C12" s="88" t="s">
        <v>94</v>
      </c>
      <c r="D12" s="93"/>
      <c r="E12" s="93"/>
      <c r="F12" s="93"/>
      <c r="G12" s="93"/>
      <c r="H12" s="93"/>
      <c r="I12" s="93"/>
      <c r="J12" s="93"/>
      <c r="K12" s="93"/>
      <c r="L12" s="93"/>
      <c r="M12" s="94"/>
    </row>
    <row r="13" spans="1:13" s="95" customFormat="1" ht="12" x14ac:dyDescent="0.2">
      <c r="B13" s="89" t="s">
        <v>53</v>
      </c>
      <c r="C13" s="89" t="s">
        <v>95</v>
      </c>
      <c r="D13" s="134" t="s">
        <v>44</v>
      </c>
      <c r="E13" s="135"/>
      <c r="F13" s="135"/>
      <c r="G13" s="136"/>
      <c r="H13" s="90" t="s">
        <v>43</v>
      </c>
      <c r="I13" s="91" t="s">
        <v>52</v>
      </c>
      <c r="J13" s="91" t="s">
        <v>54</v>
      </c>
      <c r="K13" s="137" t="s">
        <v>55</v>
      </c>
      <c r="L13" s="136"/>
    </row>
    <row r="14" spans="1:13" s="95" customFormat="1" ht="12" x14ac:dyDescent="0.2">
      <c r="B14" s="96" t="s">
        <v>1</v>
      </c>
      <c r="C14" s="92" t="s">
        <v>96</v>
      </c>
      <c r="D14" s="97" t="s">
        <v>97</v>
      </c>
      <c r="E14" s="98"/>
      <c r="F14" s="99"/>
      <c r="G14" s="100"/>
      <c r="H14" s="101" t="s">
        <v>98</v>
      </c>
      <c r="I14" s="96" t="s">
        <v>2</v>
      </c>
      <c r="J14" s="102"/>
      <c r="K14" s="102"/>
      <c r="L14" s="103"/>
    </row>
    <row r="15" spans="1:13" s="95" customFormat="1" ht="12" x14ac:dyDescent="0.2">
      <c r="B15" s="96" t="s">
        <v>1</v>
      </c>
      <c r="C15" s="92"/>
      <c r="D15" s="97"/>
      <c r="E15" s="98" t="s">
        <v>99</v>
      </c>
      <c r="F15" s="99"/>
      <c r="G15" s="100"/>
      <c r="H15" s="101"/>
      <c r="I15" s="96" t="s">
        <v>2</v>
      </c>
      <c r="J15" s="102"/>
      <c r="K15" s="102"/>
      <c r="L15" s="103"/>
    </row>
    <row r="16" spans="1:13" s="95" customFormat="1" ht="12" x14ac:dyDescent="0.2">
      <c r="B16" s="96" t="s">
        <v>1</v>
      </c>
      <c r="C16" s="92"/>
      <c r="D16" s="97"/>
      <c r="E16" s="98"/>
      <c r="F16" s="99" t="s">
        <v>100</v>
      </c>
      <c r="G16" s="100"/>
      <c r="H16" s="101" t="s">
        <v>101</v>
      </c>
      <c r="I16" s="96" t="s">
        <v>2</v>
      </c>
      <c r="J16" s="102"/>
      <c r="K16" s="102"/>
      <c r="L16" s="103"/>
    </row>
    <row r="17" spans="2:12" s="95" customFormat="1" ht="12" x14ac:dyDescent="0.2">
      <c r="B17" s="96" t="s">
        <v>1</v>
      </c>
      <c r="C17" s="92"/>
      <c r="D17" s="97"/>
      <c r="E17" s="98"/>
      <c r="F17" s="99" t="s">
        <v>102</v>
      </c>
      <c r="G17" s="100"/>
      <c r="H17" s="101"/>
      <c r="I17" s="96" t="s">
        <v>2</v>
      </c>
      <c r="J17" s="102"/>
      <c r="K17" s="102"/>
      <c r="L17" s="103"/>
    </row>
    <row r="18" spans="2:12" s="95" customFormat="1" ht="12" x14ac:dyDescent="0.2">
      <c r="B18" s="96" t="s">
        <v>1</v>
      </c>
      <c r="C18" s="92"/>
      <c r="D18" s="97"/>
      <c r="E18" s="98"/>
      <c r="F18" s="99" t="s">
        <v>103</v>
      </c>
      <c r="G18" s="100"/>
      <c r="H18" s="101"/>
      <c r="I18" s="96" t="s">
        <v>6</v>
      </c>
      <c r="J18" s="102"/>
      <c r="K18" s="102" t="s">
        <v>104</v>
      </c>
      <c r="L18" s="103"/>
    </row>
    <row r="19" spans="2:12" s="95" customFormat="1" ht="12" x14ac:dyDescent="0.2">
      <c r="B19" s="96" t="s">
        <v>1</v>
      </c>
      <c r="C19" s="92"/>
      <c r="D19" s="97"/>
      <c r="E19" s="98" t="s">
        <v>105</v>
      </c>
      <c r="F19" s="99"/>
      <c r="G19" s="100"/>
      <c r="H19" s="101"/>
      <c r="I19" s="96" t="s">
        <v>2</v>
      </c>
      <c r="J19" s="102"/>
      <c r="K19" s="102"/>
      <c r="L19" s="103"/>
    </row>
    <row r="20" spans="2:12" s="95" customFormat="1" ht="12" x14ac:dyDescent="0.2">
      <c r="B20" s="96" t="s">
        <v>1</v>
      </c>
      <c r="C20" s="92"/>
      <c r="D20" s="97"/>
      <c r="E20" s="98"/>
      <c r="F20" s="99" t="s">
        <v>106</v>
      </c>
      <c r="G20" s="100"/>
      <c r="H20" s="101" t="s">
        <v>107</v>
      </c>
      <c r="I20" s="96" t="s">
        <v>2</v>
      </c>
      <c r="J20" s="102"/>
      <c r="K20" s="102"/>
      <c r="L20" s="103"/>
    </row>
    <row r="21" spans="2:12" s="95" customFormat="1" ht="12" x14ac:dyDescent="0.2">
      <c r="B21" s="96" t="s">
        <v>1</v>
      </c>
      <c r="C21" s="92"/>
      <c r="D21" s="97"/>
      <c r="E21" s="98"/>
      <c r="F21" s="99" t="s">
        <v>108</v>
      </c>
      <c r="G21" s="100"/>
      <c r="H21" s="101"/>
      <c r="I21" s="96" t="s">
        <v>2</v>
      </c>
      <c r="J21" s="102"/>
      <c r="K21" s="102"/>
      <c r="L21" s="103"/>
    </row>
    <row r="22" spans="2:12" s="95" customFormat="1" ht="12" x14ac:dyDescent="0.2">
      <c r="B22" s="96" t="s">
        <v>1</v>
      </c>
      <c r="C22" s="92"/>
      <c r="D22" s="97"/>
      <c r="E22" s="98"/>
      <c r="F22" s="99" t="s">
        <v>109</v>
      </c>
      <c r="G22" s="100"/>
      <c r="H22" s="101" t="s">
        <v>110</v>
      </c>
      <c r="I22" s="96" t="s">
        <v>2</v>
      </c>
      <c r="J22" s="102"/>
      <c r="K22" s="102"/>
      <c r="L22" s="103"/>
    </row>
    <row r="23" spans="2:12" s="95" customFormat="1" ht="12" x14ac:dyDescent="0.2">
      <c r="B23" s="96" t="s">
        <v>1</v>
      </c>
      <c r="C23" s="92"/>
      <c r="D23" s="97"/>
      <c r="E23" s="98" t="s">
        <v>111</v>
      </c>
      <c r="F23" s="99"/>
      <c r="G23" s="100"/>
      <c r="H23" s="101" t="s">
        <v>112</v>
      </c>
      <c r="I23" s="96" t="s">
        <v>2</v>
      </c>
      <c r="J23" s="102"/>
      <c r="K23" s="102"/>
      <c r="L23" s="103"/>
    </row>
    <row r="24" spans="2:12" s="95" customFormat="1" ht="12" x14ac:dyDescent="0.2">
      <c r="B24" s="96" t="s">
        <v>1</v>
      </c>
      <c r="C24" s="92"/>
      <c r="D24" s="97"/>
      <c r="E24" s="98"/>
      <c r="F24" s="99" t="s">
        <v>113</v>
      </c>
      <c r="G24" s="100" t="s">
        <v>114</v>
      </c>
      <c r="H24" s="101"/>
      <c r="I24" s="96" t="s">
        <v>2</v>
      </c>
      <c r="J24" s="102"/>
      <c r="K24" s="102"/>
      <c r="L24" s="103"/>
    </row>
    <row r="25" spans="2:12" s="95" customFormat="1" ht="12" x14ac:dyDescent="0.2">
      <c r="B25" s="96" t="s">
        <v>1</v>
      </c>
      <c r="C25" s="92"/>
      <c r="D25" s="97"/>
      <c r="E25" s="98"/>
      <c r="F25" s="99" t="s">
        <v>115</v>
      </c>
      <c r="G25" s="100" t="s">
        <v>116</v>
      </c>
      <c r="H25" s="101"/>
      <c r="I25" s="96" t="s">
        <v>2</v>
      </c>
      <c r="J25" s="102"/>
      <c r="K25" s="102"/>
      <c r="L25" s="103"/>
    </row>
    <row r="26" spans="2:12" s="95" customFormat="1" ht="12" x14ac:dyDescent="0.2">
      <c r="B26" s="96" t="s">
        <v>1</v>
      </c>
      <c r="C26" s="92"/>
      <c r="D26" s="97"/>
      <c r="E26" s="98"/>
      <c r="F26" s="99" t="s">
        <v>117</v>
      </c>
      <c r="G26" s="100" t="s">
        <v>118</v>
      </c>
      <c r="H26" s="101"/>
      <c r="I26" s="96" t="s">
        <v>2</v>
      </c>
      <c r="J26" s="102"/>
      <c r="K26" s="102"/>
      <c r="L26" s="103"/>
    </row>
    <row r="27" spans="2:12" s="95" customFormat="1" ht="12" x14ac:dyDescent="0.2">
      <c r="B27" s="96" t="s">
        <v>1</v>
      </c>
      <c r="C27" s="92"/>
      <c r="D27" s="97"/>
      <c r="E27" s="98"/>
      <c r="F27" s="99" t="s">
        <v>119</v>
      </c>
      <c r="G27" s="100" t="s">
        <v>120</v>
      </c>
      <c r="H27" s="101"/>
      <c r="I27" s="96" t="s">
        <v>2</v>
      </c>
      <c r="J27" s="102"/>
      <c r="K27" s="102"/>
      <c r="L27" s="103"/>
    </row>
    <row r="28" spans="2:12" s="95" customFormat="1" ht="12" x14ac:dyDescent="0.2">
      <c r="B28" s="96" t="s">
        <v>1</v>
      </c>
      <c r="C28" s="92"/>
      <c r="D28" s="97"/>
      <c r="E28" s="98"/>
      <c r="F28" s="99"/>
      <c r="G28" s="100" t="s">
        <v>121</v>
      </c>
      <c r="H28" s="101"/>
      <c r="I28" s="96" t="s">
        <v>2</v>
      </c>
      <c r="J28" s="102"/>
      <c r="K28" s="102"/>
      <c r="L28" s="103"/>
    </row>
    <row r="29" spans="2:12" s="95" customFormat="1" ht="12" x14ac:dyDescent="0.2">
      <c r="B29" s="96" t="s">
        <v>1</v>
      </c>
      <c r="C29" s="92"/>
      <c r="D29" s="97"/>
      <c r="E29" s="98"/>
      <c r="F29" s="99"/>
      <c r="G29" s="100" t="s">
        <v>122</v>
      </c>
      <c r="H29" s="101"/>
      <c r="I29" s="96" t="s">
        <v>2</v>
      </c>
      <c r="J29" s="102"/>
      <c r="K29" s="102"/>
      <c r="L29" s="103"/>
    </row>
    <row r="30" spans="2:12" s="95" customFormat="1" ht="12" x14ac:dyDescent="0.2">
      <c r="B30" s="96" t="s">
        <v>1</v>
      </c>
      <c r="C30" s="92"/>
      <c r="D30" s="97"/>
      <c r="E30" s="98"/>
      <c r="F30" s="99" t="s">
        <v>123</v>
      </c>
      <c r="G30" s="100"/>
      <c r="H30" s="101"/>
      <c r="I30" s="96" t="s">
        <v>2</v>
      </c>
      <c r="J30" s="102"/>
      <c r="K30" s="102"/>
      <c r="L30" s="103"/>
    </row>
    <row r="31" spans="2:12" s="95" customFormat="1" ht="12" x14ac:dyDescent="0.2">
      <c r="B31" s="96" t="s">
        <v>1</v>
      </c>
      <c r="C31" s="92"/>
      <c r="D31" s="97"/>
      <c r="E31" s="98"/>
      <c r="F31" s="99"/>
      <c r="G31" s="100" t="s">
        <v>124</v>
      </c>
      <c r="H31" s="101" t="s">
        <v>125</v>
      </c>
      <c r="I31" s="96" t="s">
        <v>2</v>
      </c>
      <c r="J31" s="102"/>
      <c r="K31" s="102"/>
      <c r="L31" s="103"/>
    </row>
    <row r="32" spans="2:12" s="95" customFormat="1" ht="12" x14ac:dyDescent="0.2">
      <c r="B32" s="96" t="s">
        <v>1</v>
      </c>
      <c r="C32" s="92"/>
      <c r="D32" s="97"/>
      <c r="E32" s="98"/>
      <c r="F32" s="99"/>
      <c r="G32" s="100" t="s">
        <v>126</v>
      </c>
      <c r="H32" s="101" t="s">
        <v>127</v>
      </c>
      <c r="I32" s="96" t="s">
        <v>2</v>
      </c>
      <c r="J32" s="102"/>
      <c r="K32" s="102"/>
      <c r="L32" s="103"/>
    </row>
    <row r="33" spans="2:12" s="95" customFormat="1" ht="12" x14ac:dyDescent="0.2">
      <c r="B33" s="96" t="s">
        <v>1</v>
      </c>
      <c r="C33" s="92"/>
      <c r="D33" s="97"/>
      <c r="E33" s="98"/>
      <c r="F33" s="99"/>
      <c r="G33" s="100" t="s">
        <v>109</v>
      </c>
      <c r="H33" s="101" t="s">
        <v>110</v>
      </c>
      <c r="I33" s="96" t="s">
        <v>2</v>
      </c>
      <c r="J33" s="102"/>
      <c r="K33" s="102"/>
      <c r="L33" s="103"/>
    </row>
    <row r="34" spans="2:12" s="95" customFormat="1" ht="12" x14ac:dyDescent="0.2">
      <c r="B34" s="96" t="s">
        <v>1</v>
      </c>
      <c r="C34" s="92"/>
      <c r="D34" s="97"/>
      <c r="E34" s="98"/>
      <c r="F34" s="99"/>
      <c r="G34" s="100" t="s">
        <v>128</v>
      </c>
      <c r="H34" s="101" t="s">
        <v>129</v>
      </c>
      <c r="I34" s="96" t="s">
        <v>2</v>
      </c>
      <c r="J34" s="102"/>
      <c r="K34" s="102"/>
      <c r="L34" s="103"/>
    </row>
    <row r="35" spans="2:12" s="95" customFormat="1" ht="12" x14ac:dyDescent="0.2">
      <c r="B35" s="96" t="s">
        <v>1</v>
      </c>
      <c r="C35" s="92"/>
      <c r="D35" s="97"/>
      <c r="E35" s="98"/>
      <c r="F35" s="99"/>
      <c r="G35" s="100" t="s">
        <v>130</v>
      </c>
      <c r="H35" s="101" t="s">
        <v>131</v>
      </c>
      <c r="I35" s="96" t="s">
        <v>2</v>
      </c>
      <c r="J35" s="102"/>
      <c r="K35" s="102"/>
      <c r="L35" s="103"/>
    </row>
    <row r="36" spans="2:12" s="95" customFormat="1" ht="12" x14ac:dyDescent="0.2">
      <c r="B36" s="96" t="s">
        <v>1</v>
      </c>
      <c r="C36" s="92"/>
      <c r="D36" s="97"/>
      <c r="E36" s="98"/>
      <c r="F36" s="99"/>
      <c r="G36" s="100" t="s">
        <v>132</v>
      </c>
      <c r="H36" s="101" t="s">
        <v>133</v>
      </c>
      <c r="I36" s="96" t="s">
        <v>2</v>
      </c>
      <c r="J36" s="102"/>
      <c r="K36" s="102"/>
      <c r="L36" s="103"/>
    </row>
    <row r="37" spans="2:12" s="95" customFormat="1" ht="12" x14ac:dyDescent="0.2">
      <c r="B37" s="96" t="s">
        <v>1</v>
      </c>
      <c r="C37" s="92"/>
      <c r="D37" s="97"/>
      <c r="E37" s="98" t="s">
        <v>134</v>
      </c>
      <c r="F37" s="99"/>
      <c r="G37" s="100"/>
      <c r="H37" s="101"/>
      <c r="I37" s="96" t="s">
        <v>2</v>
      </c>
      <c r="J37" s="102"/>
      <c r="K37" s="102"/>
      <c r="L37" s="103"/>
    </row>
    <row r="38" spans="2:12" s="95" customFormat="1" ht="12" x14ac:dyDescent="0.2">
      <c r="B38" s="96" t="s">
        <v>1</v>
      </c>
      <c r="C38" s="92"/>
      <c r="D38" s="97"/>
      <c r="E38" s="98"/>
      <c r="F38" s="99" t="s">
        <v>135</v>
      </c>
      <c r="G38" s="100"/>
      <c r="H38" s="101" t="s">
        <v>136</v>
      </c>
      <c r="I38" s="96" t="s">
        <v>2</v>
      </c>
      <c r="J38" s="102"/>
      <c r="K38" s="102"/>
      <c r="L38" s="103"/>
    </row>
    <row r="39" spans="2:12" s="95" customFormat="1" ht="12" x14ac:dyDescent="0.2">
      <c r="B39" s="96" t="s">
        <v>1</v>
      </c>
      <c r="C39" s="92"/>
      <c r="D39" s="97"/>
      <c r="E39" s="98"/>
      <c r="F39" s="99" t="s">
        <v>137</v>
      </c>
      <c r="G39" s="100"/>
      <c r="H39" s="101"/>
      <c r="I39" s="96" t="s">
        <v>2</v>
      </c>
      <c r="J39" s="102"/>
      <c r="K39" s="102"/>
      <c r="L39" s="103"/>
    </row>
    <row r="40" spans="2:12" s="95" customFormat="1" ht="12" x14ac:dyDescent="0.2">
      <c r="B40" s="96" t="s">
        <v>1</v>
      </c>
      <c r="C40" s="92"/>
      <c r="D40" s="97"/>
      <c r="E40" s="98"/>
      <c r="F40" s="99" t="s">
        <v>138</v>
      </c>
      <c r="G40" s="100"/>
      <c r="H40" s="101"/>
      <c r="I40" s="96" t="s">
        <v>2</v>
      </c>
      <c r="J40" s="102"/>
      <c r="K40" s="102"/>
      <c r="L40" s="103"/>
    </row>
    <row r="41" spans="2:12" s="95" customFormat="1" ht="12" x14ac:dyDescent="0.2">
      <c r="B41" s="96" t="s">
        <v>1</v>
      </c>
      <c r="C41" s="92"/>
      <c r="D41" s="97" t="s">
        <v>139</v>
      </c>
      <c r="E41" s="98"/>
      <c r="F41" s="99"/>
      <c r="G41" s="100"/>
      <c r="H41" s="101"/>
      <c r="I41" s="96" t="s">
        <v>2</v>
      </c>
      <c r="J41" s="102"/>
      <c r="K41" s="102"/>
      <c r="L41" s="103"/>
    </row>
  </sheetData>
  <mergeCells count="3">
    <mergeCell ref="B3:B4"/>
    <mergeCell ref="D13:G13"/>
    <mergeCell ref="K13:L13"/>
  </mergeCells>
  <phoneticPr fontId="11" type="noConversion"/>
  <conditionalFormatting sqref="I1:I11">
    <cfRule type="containsText" dxfId="13" priority="723" stopIfTrue="1" operator="containsText" text="N/A">
      <formula>NOT(ISERROR(SEARCH("N/A",I1)))</formula>
    </cfRule>
    <cfRule type="containsText" dxfId="12" priority="724" stopIfTrue="1" operator="containsText" text="Fail">
      <formula>NOT(ISERROR(SEARCH("Fail",I1)))</formula>
    </cfRule>
    <cfRule type="containsText" dxfId="11" priority="725" stopIfTrue="1" operator="containsText" text="Pass">
      <formula>NOT(ISERROR(SEARCH("Pass",I1)))</formula>
    </cfRule>
    <cfRule type="containsText" dxfId="10" priority="726" stopIfTrue="1" operator="containsText" text="N/T">
      <formula>NOT(ISERROR(SEARCH("N/T",I1)))</formula>
    </cfRule>
  </conditionalFormatting>
  <conditionalFormatting sqref="B1:B3 B5:B11">
    <cfRule type="containsText" dxfId="9" priority="721" stopIfTrue="1" operator="containsText" text="Data">
      <formula>NOT(ISERROR(SEARCH("Data",B1)))</formula>
    </cfRule>
    <cfRule type="containsText" dxfId="8" priority="722" stopIfTrue="1" operator="containsText" text="Function">
      <formula>NOT(ISERROR(SEARCH("Function",B1)))</formula>
    </cfRule>
  </conditionalFormatting>
  <conditionalFormatting sqref="B13:B41">
    <cfRule type="containsText" dxfId="7" priority="93" operator="containsText" text="Data">
      <formula>NOT(ISERROR(SEARCH("Data",B13)))</formula>
    </cfRule>
    <cfRule type="containsText" dxfId="6" priority="94" operator="containsText" text="Function">
      <formula>NOT(ISERROR(SEARCH("Function",B13)))</formula>
    </cfRule>
  </conditionalFormatting>
  <conditionalFormatting sqref="I14:I41">
    <cfRule type="containsText" dxfId="5" priority="89" operator="containsText" text="N/T">
      <formula>NOT(ISERROR(SEARCH("N/T",I14)))</formula>
    </cfRule>
    <cfRule type="containsText" dxfId="4" priority="90" operator="containsText" text="N/A">
      <formula>NOT(ISERROR(SEARCH("N/A",I14)))</formula>
    </cfRule>
    <cfRule type="containsText" dxfId="3" priority="91" operator="containsText" text="Fail">
      <formula>NOT(ISERROR(SEARCH("Fail",I14)))</formula>
    </cfRule>
    <cfRule type="containsText" dxfId="2" priority="92" operator="containsText" text="Pass">
      <formula>NOT(ISERROR(SEARCH("Pass",I14)))</formula>
    </cfRule>
  </conditionalFormatting>
  <conditionalFormatting sqref="B12">
    <cfRule type="containsText" dxfId="1" priority="107" operator="containsText" text="Data">
      <formula>NOT(ISERROR(SEARCH("Data",B12)))</formula>
    </cfRule>
    <cfRule type="containsText" dxfId="0" priority="108" operator="containsText" text="Function">
      <formula>NOT(ISERROR(SEARCH("Function",B12)))</formula>
    </cfRule>
  </conditionalFormatting>
  <dataValidations disablePrompts="1" count="3">
    <dataValidation type="list" showInputMessage="1" showErrorMessage="1" sqref="O12:P13">
      <formula1>$O$11:$O$12</formula1>
    </dataValidation>
    <dataValidation type="list" showInputMessage="1" showErrorMessage="1" sqref="B14:B41">
      <formula1>"Function,Data"</formula1>
    </dataValidation>
    <dataValidation type="list" showInputMessage="1" showErrorMessage="1" sqref="I14:I41">
      <formula1>"N/T,Pass,Fail,N/A"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Summary</vt:lpstr>
      <vt:lpstr>어쌔신</vt:lpstr>
    </vt:vector>
  </TitlesOfParts>
  <Company>넥슨네트웍스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정상혁 [heal]</dc:creator>
  <cp:lastModifiedBy>이지수 [kvnlee]</cp:lastModifiedBy>
  <dcterms:created xsi:type="dcterms:W3CDTF">2020-01-09T01:18:59Z</dcterms:created>
  <dcterms:modified xsi:type="dcterms:W3CDTF">2020-11-03T09:21:04Z</dcterms:modified>
</cp:coreProperties>
</file>